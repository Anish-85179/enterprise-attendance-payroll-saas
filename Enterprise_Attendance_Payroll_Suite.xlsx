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D drive\EXCEL GOOGLE SHEETS\"/>
    </mc:Choice>
  </mc:AlternateContent>
  <xr:revisionPtr revIDLastSave="0" documentId="8_{DD0EC3DF-F309-4967-AD2F-5CF410CDC7D3}" xr6:coauthVersionLast="47" xr6:coauthVersionMax="47" xr10:uidLastSave="{00000000-0000-0000-0000-000000000000}"/>
  <bookViews>
    <workbookView xWindow="-108" yWindow="-108" windowWidth="23256" windowHeight="13176" activeTab="3" xr2:uid="{E9FED659-7FD3-4290-BD3E-8BF7B14EAC02}"/>
  </bookViews>
  <sheets>
    <sheet name="Master_Roster" sheetId="1" r:id="rId1"/>
    <sheet name="Matrix_Attendance_Tracker" sheetId="6" r:id="rId2"/>
    <sheet name="Payroll_Calculator" sheetId="3" r:id="rId3"/>
    <sheet name="Control_Dashboard"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 i="6" l="1"/>
  <c r="D4" i="6"/>
  <c r="E4" i="6"/>
  <c r="F4" i="6"/>
  <c r="G4" i="6"/>
  <c r="H4" i="6"/>
  <c r="I4" i="6"/>
  <c r="J4" i="6"/>
  <c r="K4" i="6"/>
  <c r="L4" i="6"/>
  <c r="M4" i="6"/>
  <c r="N4" i="6"/>
  <c r="O4" i="6"/>
  <c r="P4" i="6"/>
  <c r="Q4" i="6"/>
  <c r="R4" i="6"/>
  <c r="S4" i="6"/>
  <c r="T4" i="6"/>
  <c r="U4" i="6"/>
  <c r="V4" i="6"/>
  <c r="W4" i="6"/>
  <c r="X4" i="6"/>
  <c r="Y4" i="6"/>
  <c r="Z4" i="6"/>
  <c r="AA4" i="6"/>
  <c r="AB4" i="6"/>
  <c r="AC4" i="6"/>
  <c r="AD4" i="6"/>
  <c r="AE4" i="6"/>
  <c r="AF4" i="6"/>
  <c r="AG4" i="6"/>
  <c r="C5" i="6"/>
  <c r="D5" i="6"/>
  <c r="E5" i="6"/>
  <c r="F5" i="6"/>
  <c r="G5" i="6"/>
  <c r="H5" i="6"/>
  <c r="I5" i="6"/>
  <c r="J5" i="6"/>
  <c r="K5" i="6"/>
  <c r="L5" i="6"/>
  <c r="M5" i="6"/>
  <c r="N5" i="6"/>
  <c r="O5" i="6"/>
  <c r="P5" i="6"/>
  <c r="Q5" i="6"/>
  <c r="R5" i="6"/>
  <c r="S5" i="6"/>
  <c r="T5" i="6"/>
  <c r="U5" i="6"/>
  <c r="V5" i="6"/>
  <c r="W5" i="6"/>
  <c r="X5" i="6"/>
  <c r="Y5" i="6"/>
  <c r="Z5" i="6"/>
  <c r="AA5" i="6"/>
  <c r="AB5" i="6"/>
  <c r="AC5" i="6"/>
  <c r="AD5" i="6"/>
  <c r="AE5" i="6"/>
  <c r="AF5" i="6"/>
  <c r="AG5" i="6"/>
  <c r="C6" i="6"/>
  <c r="D6" i="6"/>
  <c r="E6" i="6"/>
  <c r="F6" i="6"/>
  <c r="G6" i="6"/>
  <c r="H6" i="6"/>
  <c r="I6" i="6"/>
  <c r="J6" i="6"/>
  <c r="K6" i="6"/>
  <c r="L6" i="6"/>
  <c r="M6" i="6"/>
  <c r="N6" i="6"/>
  <c r="O6" i="6"/>
  <c r="P6" i="6"/>
  <c r="Q6" i="6"/>
  <c r="R6" i="6"/>
  <c r="S6" i="6"/>
  <c r="T6" i="6"/>
  <c r="U6" i="6"/>
  <c r="V6" i="6"/>
  <c r="W6" i="6"/>
  <c r="X6" i="6"/>
  <c r="Y6" i="6"/>
  <c r="Z6" i="6"/>
  <c r="AA6" i="6"/>
  <c r="AB6" i="6"/>
  <c r="AC6" i="6"/>
  <c r="AD6" i="6"/>
  <c r="AE6" i="6"/>
  <c r="AF6" i="6"/>
  <c r="AG6" i="6"/>
  <c r="C7" i="6"/>
  <c r="D7" i="6"/>
  <c r="E7" i="6"/>
  <c r="F7" i="6"/>
  <c r="G7" i="6"/>
  <c r="H7" i="6"/>
  <c r="I7" i="6"/>
  <c r="J7" i="6"/>
  <c r="K7" i="6"/>
  <c r="L7" i="6"/>
  <c r="M7" i="6"/>
  <c r="N7" i="6"/>
  <c r="O7" i="6"/>
  <c r="P7" i="6"/>
  <c r="Q7" i="6"/>
  <c r="R7" i="6"/>
  <c r="S7" i="6"/>
  <c r="T7" i="6"/>
  <c r="U7" i="6"/>
  <c r="V7" i="6"/>
  <c r="W7" i="6"/>
  <c r="X7" i="6"/>
  <c r="Y7" i="6"/>
  <c r="Z7" i="6"/>
  <c r="AA7" i="6"/>
  <c r="AB7" i="6"/>
  <c r="AC7" i="6"/>
  <c r="AD7" i="6"/>
  <c r="AE7" i="6"/>
  <c r="AF7" i="6"/>
  <c r="AG7" i="6"/>
  <c r="C8" i="6"/>
  <c r="D8" i="6"/>
  <c r="E8" i="6"/>
  <c r="F8" i="6"/>
  <c r="G8" i="6"/>
  <c r="H8" i="6"/>
  <c r="I8" i="6"/>
  <c r="J8" i="6"/>
  <c r="K8" i="6"/>
  <c r="L8" i="6"/>
  <c r="M8" i="6"/>
  <c r="N8" i="6"/>
  <c r="O8" i="6"/>
  <c r="P8" i="6"/>
  <c r="Q8" i="6"/>
  <c r="R8" i="6"/>
  <c r="S8" i="6"/>
  <c r="T8" i="6"/>
  <c r="U8" i="6"/>
  <c r="V8" i="6"/>
  <c r="W8" i="6"/>
  <c r="X8" i="6"/>
  <c r="Y8" i="6"/>
  <c r="Z8" i="6"/>
  <c r="AA8" i="6"/>
  <c r="AB8" i="6"/>
  <c r="AC8" i="6"/>
  <c r="AD8" i="6"/>
  <c r="AE8" i="6"/>
  <c r="AF8" i="6"/>
  <c r="AG8" i="6"/>
  <c r="C9" i="6"/>
  <c r="D9" i="6"/>
  <c r="E9" i="6"/>
  <c r="F9" i="6"/>
  <c r="G9" i="6"/>
  <c r="H9" i="6"/>
  <c r="I9" i="6"/>
  <c r="J9" i="6"/>
  <c r="K9" i="6"/>
  <c r="L9" i="6"/>
  <c r="M9" i="6"/>
  <c r="N9" i="6"/>
  <c r="O9" i="6"/>
  <c r="P9" i="6"/>
  <c r="Q9" i="6"/>
  <c r="R9" i="6"/>
  <c r="S9" i="6"/>
  <c r="T9" i="6"/>
  <c r="U9" i="6"/>
  <c r="V9" i="6"/>
  <c r="W9" i="6"/>
  <c r="X9" i="6"/>
  <c r="Y9" i="6"/>
  <c r="Z9" i="6"/>
  <c r="AA9" i="6"/>
  <c r="AB9" i="6"/>
  <c r="AC9" i="6"/>
  <c r="AD9" i="6"/>
  <c r="AE9" i="6"/>
  <c r="AF9" i="6"/>
  <c r="AG9" i="6"/>
  <c r="C10" i="6"/>
  <c r="D10" i="6"/>
  <c r="E10" i="6"/>
  <c r="F10" i="6"/>
  <c r="G10" i="6"/>
  <c r="H10" i="6"/>
  <c r="I10" i="6"/>
  <c r="J10" i="6"/>
  <c r="K10" i="6"/>
  <c r="L10" i="6"/>
  <c r="M10" i="6"/>
  <c r="N10" i="6"/>
  <c r="O10" i="6"/>
  <c r="P10" i="6"/>
  <c r="Q10" i="6"/>
  <c r="R10" i="6"/>
  <c r="S10" i="6"/>
  <c r="T10" i="6"/>
  <c r="U10" i="6"/>
  <c r="V10" i="6"/>
  <c r="W10" i="6"/>
  <c r="X10" i="6"/>
  <c r="Y10" i="6"/>
  <c r="Z10" i="6"/>
  <c r="AA10" i="6"/>
  <c r="AB10" i="6"/>
  <c r="AC10" i="6"/>
  <c r="AD10" i="6"/>
  <c r="AE10" i="6"/>
  <c r="AF10" i="6"/>
  <c r="AG10" i="6"/>
  <c r="C11" i="6"/>
  <c r="D11" i="6"/>
  <c r="E11" i="6"/>
  <c r="F11" i="6"/>
  <c r="G11" i="6"/>
  <c r="H11" i="6"/>
  <c r="I11" i="6"/>
  <c r="J11" i="6"/>
  <c r="K11" i="6"/>
  <c r="L11" i="6"/>
  <c r="M11" i="6"/>
  <c r="N11" i="6"/>
  <c r="O11" i="6"/>
  <c r="P11" i="6"/>
  <c r="Q11" i="6"/>
  <c r="R11" i="6"/>
  <c r="S11" i="6"/>
  <c r="T11" i="6"/>
  <c r="U11" i="6"/>
  <c r="V11" i="6"/>
  <c r="W11" i="6"/>
  <c r="X11" i="6"/>
  <c r="Y11" i="6"/>
  <c r="Z11" i="6"/>
  <c r="AA11" i="6"/>
  <c r="AB11" i="6"/>
  <c r="AC11" i="6"/>
  <c r="AD11" i="6"/>
  <c r="AE11" i="6"/>
  <c r="AF11" i="6"/>
  <c r="AG11" i="6"/>
  <c r="C12" i="6"/>
  <c r="D12" i="6"/>
  <c r="E12" i="6"/>
  <c r="F12" i="6"/>
  <c r="G12" i="6"/>
  <c r="H12" i="6"/>
  <c r="I12" i="6"/>
  <c r="J12" i="6"/>
  <c r="K12" i="6"/>
  <c r="L12" i="6"/>
  <c r="M12" i="6"/>
  <c r="N12" i="6"/>
  <c r="O12" i="6"/>
  <c r="P12" i="6"/>
  <c r="Q12" i="6"/>
  <c r="R12" i="6"/>
  <c r="S12" i="6"/>
  <c r="T12" i="6"/>
  <c r="U12" i="6"/>
  <c r="V12" i="6"/>
  <c r="W12" i="6"/>
  <c r="X12" i="6"/>
  <c r="Y12" i="6"/>
  <c r="Z12" i="6"/>
  <c r="AA12" i="6"/>
  <c r="AB12" i="6"/>
  <c r="AC12" i="6"/>
  <c r="AD12" i="6"/>
  <c r="AE12" i="6"/>
  <c r="AF12" i="6"/>
  <c r="AG12" i="6"/>
  <c r="C13" i="6"/>
  <c r="D13" i="6"/>
  <c r="E13" i="6"/>
  <c r="F13" i="6"/>
  <c r="G13" i="6"/>
  <c r="H13" i="6"/>
  <c r="I13" i="6"/>
  <c r="J13" i="6"/>
  <c r="K13" i="6"/>
  <c r="L13" i="6"/>
  <c r="M13" i="6"/>
  <c r="N13" i="6"/>
  <c r="O13" i="6"/>
  <c r="P13" i="6"/>
  <c r="Q13" i="6"/>
  <c r="R13" i="6"/>
  <c r="S13" i="6"/>
  <c r="T13" i="6"/>
  <c r="U13" i="6"/>
  <c r="V13" i="6"/>
  <c r="W13" i="6"/>
  <c r="X13" i="6"/>
  <c r="Y13" i="6"/>
  <c r="Z13" i="6"/>
  <c r="AA13" i="6"/>
  <c r="AB13" i="6"/>
  <c r="AC13" i="6"/>
  <c r="AD13" i="6"/>
  <c r="AE13" i="6"/>
  <c r="AF13" i="6"/>
  <c r="AG13" i="6"/>
  <c r="C14" i="6"/>
  <c r="D14" i="6"/>
  <c r="E14" i="6"/>
  <c r="F14" i="6"/>
  <c r="G14" i="6"/>
  <c r="H14" i="6"/>
  <c r="I14" i="6"/>
  <c r="J14" i="6"/>
  <c r="K14" i="6"/>
  <c r="L14" i="6"/>
  <c r="M14" i="6"/>
  <c r="N14" i="6"/>
  <c r="O14" i="6"/>
  <c r="P14" i="6"/>
  <c r="Q14" i="6"/>
  <c r="R14" i="6"/>
  <c r="S14" i="6"/>
  <c r="T14" i="6"/>
  <c r="U14" i="6"/>
  <c r="V14" i="6"/>
  <c r="W14" i="6"/>
  <c r="X14" i="6"/>
  <c r="Y14" i="6"/>
  <c r="Z14" i="6"/>
  <c r="AA14" i="6"/>
  <c r="AB14" i="6"/>
  <c r="AC14" i="6"/>
  <c r="AD14" i="6"/>
  <c r="AE14" i="6"/>
  <c r="AF14" i="6"/>
  <c r="AG14" i="6"/>
  <c r="C15" i="6"/>
  <c r="D15" i="6"/>
  <c r="E15" i="6"/>
  <c r="F15" i="6"/>
  <c r="G15" i="6"/>
  <c r="H15" i="6"/>
  <c r="I15" i="6"/>
  <c r="J15" i="6"/>
  <c r="K15" i="6"/>
  <c r="L15" i="6"/>
  <c r="M15" i="6"/>
  <c r="N15" i="6"/>
  <c r="O15" i="6"/>
  <c r="P15" i="6"/>
  <c r="Q15" i="6"/>
  <c r="R15" i="6"/>
  <c r="S15" i="6"/>
  <c r="T15" i="6"/>
  <c r="U15" i="6"/>
  <c r="V15" i="6"/>
  <c r="W15" i="6"/>
  <c r="X15" i="6"/>
  <c r="Y15" i="6"/>
  <c r="Z15" i="6"/>
  <c r="AA15" i="6"/>
  <c r="AB15" i="6"/>
  <c r="AC15" i="6"/>
  <c r="AD15" i="6"/>
  <c r="AE15" i="6"/>
  <c r="AF15" i="6"/>
  <c r="AG15" i="6"/>
  <c r="C16" i="6"/>
  <c r="D16" i="6"/>
  <c r="E16" i="6"/>
  <c r="F16" i="6"/>
  <c r="G16" i="6"/>
  <c r="H16" i="6"/>
  <c r="I16" i="6"/>
  <c r="J16" i="6"/>
  <c r="K16" i="6"/>
  <c r="L16" i="6"/>
  <c r="M16" i="6"/>
  <c r="N16" i="6"/>
  <c r="O16" i="6"/>
  <c r="P16" i="6"/>
  <c r="Q16" i="6"/>
  <c r="R16" i="6"/>
  <c r="S16" i="6"/>
  <c r="T16" i="6"/>
  <c r="U16" i="6"/>
  <c r="V16" i="6"/>
  <c r="W16" i="6"/>
  <c r="X16" i="6"/>
  <c r="Y16" i="6"/>
  <c r="Z16" i="6"/>
  <c r="AA16" i="6"/>
  <c r="AB16" i="6"/>
  <c r="AC16" i="6"/>
  <c r="AD16" i="6"/>
  <c r="AE16" i="6"/>
  <c r="AF16" i="6"/>
  <c r="AG16" i="6"/>
  <c r="C17" i="6"/>
  <c r="D17" i="6"/>
  <c r="E17" i="6"/>
  <c r="F17" i="6"/>
  <c r="G17" i="6"/>
  <c r="H17" i="6"/>
  <c r="I17" i="6"/>
  <c r="J17" i="6"/>
  <c r="K17" i="6"/>
  <c r="L17" i="6"/>
  <c r="M17" i="6"/>
  <c r="N17" i="6"/>
  <c r="O17" i="6"/>
  <c r="P17" i="6"/>
  <c r="Q17" i="6"/>
  <c r="R17" i="6"/>
  <c r="S17" i="6"/>
  <c r="T17" i="6"/>
  <c r="U17" i="6"/>
  <c r="V17" i="6"/>
  <c r="W17" i="6"/>
  <c r="X17" i="6"/>
  <c r="Y17" i="6"/>
  <c r="Z17" i="6"/>
  <c r="AA17" i="6"/>
  <c r="AB17" i="6"/>
  <c r="AC17" i="6"/>
  <c r="AD17" i="6"/>
  <c r="AE17" i="6"/>
  <c r="AF17" i="6"/>
  <c r="AG17" i="6"/>
  <c r="C18" i="6"/>
  <c r="D18" i="6"/>
  <c r="E18" i="6"/>
  <c r="F18" i="6"/>
  <c r="G18" i="6"/>
  <c r="H18" i="6"/>
  <c r="I18" i="6"/>
  <c r="J18" i="6"/>
  <c r="K18" i="6"/>
  <c r="L18" i="6"/>
  <c r="M18" i="6"/>
  <c r="N18" i="6"/>
  <c r="O18" i="6"/>
  <c r="P18" i="6"/>
  <c r="Q18" i="6"/>
  <c r="R18" i="6"/>
  <c r="S18" i="6"/>
  <c r="T18" i="6"/>
  <c r="U18" i="6"/>
  <c r="V18" i="6"/>
  <c r="W18" i="6"/>
  <c r="X18" i="6"/>
  <c r="Y18" i="6"/>
  <c r="Z18" i="6"/>
  <c r="AA18" i="6"/>
  <c r="AB18" i="6"/>
  <c r="AC18" i="6"/>
  <c r="AD18" i="6"/>
  <c r="AE18" i="6"/>
  <c r="AF18" i="6"/>
  <c r="AG18" i="6"/>
  <c r="C19" i="6"/>
  <c r="D19" i="6"/>
  <c r="E19" i="6"/>
  <c r="F19" i="6"/>
  <c r="G19" i="6"/>
  <c r="H19" i="6"/>
  <c r="I19" i="6"/>
  <c r="J19" i="6"/>
  <c r="K19" i="6"/>
  <c r="L19" i="6"/>
  <c r="M19" i="6"/>
  <c r="N19" i="6"/>
  <c r="O19" i="6"/>
  <c r="P19" i="6"/>
  <c r="Q19" i="6"/>
  <c r="R19" i="6"/>
  <c r="S19" i="6"/>
  <c r="T19" i="6"/>
  <c r="U19" i="6"/>
  <c r="V19" i="6"/>
  <c r="W19" i="6"/>
  <c r="X19" i="6"/>
  <c r="Y19" i="6"/>
  <c r="Z19" i="6"/>
  <c r="AA19" i="6"/>
  <c r="AB19" i="6"/>
  <c r="AC19" i="6"/>
  <c r="AD19" i="6"/>
  <c r="AE19" i="6"/>
  <c r="AF19" i="6"/>
  <c r="AG19" i="6"/>
  <c r="C20" i="6"/>
  <c r="D20" i="6"/>
  <c r="E20" i="6"/>
  <c r="F20" i="6"/>
  <c r="G20" i="6"/>
  <c r="H20" i="6"/>
  <c r="I20" i="6"/>
  <c r="J20" i="6"/>
  <c r="K20" i="6"/>
  <c r="L20" i="6"/>
  <c r="M20" i="6"/>
  <c r="N20" i="6"/>
  <c r="O20" i="6"/>
  <c r="P20" i="6"/>
  <c r="Q20" i="6"/>
  <c r="R20" i="6"/>
  <c r="S20" i="6"/>
  <c r="T20" i="6"/>
  <c r="U20" i="6"/>
  <c r="V20" i="6"/>
  <c r="W20" i="6"/>
  <c r="X20" i="6"/>
  <c r="Y20" i="6"/>
  <c r="Z20" i="6"/>
  <c r="AA20" i="6"/>
  <c r="AB20" i="6"/>
  <c r="AC20" i="6"/>
  <c r="AD20" i="6"/>
  <c r="AE20" i="6"/>
  <c r="AF20" i="6"/>
  <c r="AG20" i="6"/>
  <c r="C21" i="6"/>
  <c r="D21" i="6"/>
  <c r="E21" i="6"/>
  <c r="F21" i="6"/>
  <c r="G21" i="6"/>
  <c r="H21" i="6"/>
  <c r="I21" i="6"/>
  <c r="J21" i="6"/>
  <c r="K21" i="6"/>
  <c r="L21" i="6"/>
  <c r="M21" i="6"/>
  <c r="N21" i="6"/>
  <c r="O21" i="6"/>
  <c r="P21" i="6"/>
  <c r="Q21" i="6"/>
  <c r="R21" i="6"/>
  <c r="S21" i="6"/>
  <c r="T21" i="6"/>
  <c r="U21" i="6"/>
  <c r="V21" i="6"/>
  <c r="W21" i="6"/>
  <c r="X21" i="6"/>
  <c r="Y21" i="6"/>
  <c r="Z21" i="6"/>
  <c r="AA21" i="6"/>
  <c r="AB21" i="6"/>
  <c r="AC21" i="6"/>
  <c r="AD21" i="6"/>
  <c r="AE21" i="6"/>
  <c r="AF21" i="6"/>
  <c r="AG21" i="6"/>
  <c r="C22" i="6"/>
  <c r="D22" i="6"/>
  <c r="E22" i="6"/>
  <c r="F22" i="6"/>
  <c r="G22" i="6"/>
  <c r="H22" i="6"/>
  <c r="I22" i="6"/>
  <c r="J22" i="6"/>
  <c r="K22" i="6"/>
  <c r="L22" i="6"/>
  <c r="M22" i="6"/>
  <c r="N22" i="6"/>
  <c r="O22" i="6"/>
  <c r="P22" i="6"/>
  <c r="Q22" i="6"/>
  <c r="R22" i="6"/>
  <c r="S22" i="6"/>
  <c r="T22" i="6"/>
  <c r="U22" i="6"/>
  <c r="V22" i="6"/>
  <c r="W22" i="6"/>
  <c r="X22" i="6"/>
  <c r="Y22" i="6"/>
  <c r="Z22" i="6"/>
  <c r="AA22" i="6"/>
  <c r="AB22" i="6"/>
  <c r="AC22" i="6"/>
  <c r="AD22" i="6"/>
  <c r="AE22" i="6"/>
  <c r="AF22" i="6"/>
  <c r="AG22" i="6"/>
  <c r="C23" i="6"/>
  <c r="D23" i="6"/>
  <c r="E23" i="6"/>
  <c r="F23" i="6"/>
  <c r="G23" i="6"/>
  <c r="H23" i="6"/>
  <c r="I23" i="6"/>
  <c r="J23" i="6"/>
  <c r="K23" i="6"/>
  <c r="L23" i="6"/>
  <c r="M23" i="6"/>
  <c r="N23" i="6"/>
  <c r="O23" i="6"/>
  <c r="P23" i="6"/>
  <c r="Q23" i="6"/>
  <c r="R23" i="6"/>
  <c r="S23" i="6"/>
  <c r="T23" i="6"/>
  <c r="U23" i="6"/>
  <c r="V23" i="6"/>
  <c r="W23" i="6"/>
  <c r="X23" i="6"/>
  <c r="Y23" i="6"/>
  <c r="Z23" i="6"/>
  <c r="AA23" i="6"/>
  <c r="AB23" i="6"/>
  <c r="AC23" i="6"/>
  <c r="AD23" i="6"/>
  <c r="AE23" i="6"/>
  <c r="AF23" i="6"/>
  <c r="AG23" i="6"/>
  <c r="C24" i="6"/>
  <c r="D24" i="6"/>
  <c r="E24" i="6"/>
  <c r="F24" i="6"/>
  <c r="G24" i="6"/>
  <c r="H24" i="6"/>
  <c r="I24" i="6"/>
  <c r="J24" i="6"/>
  <c r="K24" i="6"/>
  <c r="L24" i="6"/>
  <c r="M24" i="6"/>
  <c r="N24" i="6"/>
  <c r="O24" i="6"/>
  <c r="P24" i="6"/>
  <c r="Q24" i="6"/>
  <c r="R24" i="6"/>
  <c r="S24" i="6"/>
  <c r="T24" i="6"/>
  <c r="U24" i="6"/>
  <c r="V24" i="6"/>
  <c r="W24" i="6"/>
  <c r="X24" i="6"/>
  <c r="Y24" i="6"/>
  <c r="Z24" i="6"/>
  <c r="AA24" i="6"/>
  <c r="AB24" i="6"/>
  <c r="AC24" i="6"/>
  <c r="AD24" i="6"/>
  <c r="AE24" i="6"/>
  <c r="AF24" i="6"/>
  <c r="AG24" i="6"/>
  <c r="C25" i="6"/>
  <c r="D25" i="6"/>
  <c r="E25" i="6"/>
  <c r="F25" i="6"/>
  <c r="G25" i="6"/>
  <c r="H25" i="6"/>
  <c r="I25" i="6"/>
  <c r="J25" i="6"/>
  <c r="K25" i="6"/>
  <c r="L25" i="6"/>
  <c r="M25" i="6"/>
  <c r="N25" i="6"/>
  <c r="O25" i="6"/>
  <c r="P25" i="6"/>
  <c r="Q25" i="6"/>
  <c r="R25" i="6"/>
  <c r="S25" i="6"/>
  <c r="T25" i="6"/>
  <c r="U25" i="6"/>
  <c r="V25" i="6"/>
  <c r="W25" i="6"/>
  <c r="X25" i="6"/>
  <c r="Y25" i="6"/>
  <c r="Z25" i="6"/>
  <c r="AA25" i="6"/>
  <c r="AB25" i="6"/>
  <c r="AC25" i="6"/>
  <c r="AD25" i="6"/>
  <c r="AE25" i="6"/>
  <c r="AF25" i="6"/>
  <c r="AG25" i="6"/>
  <c r="C26" i="6"/>
  <c r="D26" i="6"/>
  <c r="E26" i="6"/>
  <c r="F26" i="6"/>
  <c r="G26" i="6"/>
  <c r="H26" i="6"/>
  <c r="I26" i="6"/>
  <c r="J26" i="6"/>
  <c r="K26" i="6"/>
  <c r="L26" i="6"/>
  <c r="M26" i="6"/>
  <c r="N26" i="6"/>
  <c r="O26" i="6"/>
  <c r="P26" i="6"/>
  <c r="Q26" i="6"/>
  <c r="R26" i="6"/>
  <c r="S26" i="6"/>
  <c r="T26" i="6"/>
  <c r="U26" i="6"/>
  <c r="V26" i="6"/>
  <c r="W26" i="6"/>
  <c r="X26" i="6"/>
  <c r="Y26" i="6"/>
  <c r="Z26" i="6"/>
  <c r="AA26" i="6"/>
  <c r="AB26" i="6"/>
  <c r="AC26" i="6"/>
  <c r="AD26" i="6"/>
  <c r="AE26" i="6"/>
  <c r="AF26" i="6"/>
  <c r="AG26" i="6"/>
  <c r="C27" i="6"/>
  <c r="D27" i="6"/>
  <c r="E27" i="6"/>
  <c r="F27" i="6"/>
  <c r="G27" i="6"/>
  <c r="H27" i="6"/>
  <c r="I27" i="6"/>
  <c r="J27" i="6"/>
  <c r="K27" i="6"/>
  <c r="L27" i="6"/>
  <c r="M27" i="6"/>
  <c r="N27" i="6"/>
  <c r="O27" i="6"/>
  <c r="P27" i="6"/>
  <c r="Q27" i="6"/>
  <c r="R27" i="6"/>
  <c r="S27" i="6"/>
  <c r="T27" i="6"/>
  <c r="U27" i="6"/>
  <c r="V27" i="6"/>
  <c r="W27" i="6"/>
  <c r="X27" i="6"/>
  <c r="Y27" i="6"/>
  <c r="Z27" i="6"/>
  <c r="AA27" i="6"/>
  <c r="AB27" i="6"/>
  <c r="AC27" i="6"/>
  <c r="AD27" i="6"/>
  <c r="AE27" i="6"/>
  <c r="AF27" i="6"/>
  <c r="AG27" i="6"/>
  <c r="C28" i="6"/>
  <c r="D28" i="6"/>
  <c r="E28" i="6"/>
  <c r="F28" i="6"/>
  <c r="G28" i="6"/>
  <c r="H28" i="6"/>
  <c r="I28" i="6"/>
  <c r="J28" i="6"/>
  <c r="K28" i="6"/>
  <c r="L28" i="6"/>
  <c r="M28" i="6"/>
  <c r="N28" i="6"/>
  <c r="O28" i="6"/>
  <c r="P28" i="6"/>
  <c r="Q28" i="6"/>
  <c r="R28" i="6"/>
  <c r="S28" i="6"/>
  <c r="T28" i="6"/>
  <c r="U28" i="6"/>
  <c r="V28" i="6"/>
  <c r="W28" i="6"/>
  <c r="X28" i="6"/>
  <c r="Y28" i="6"/>
  <c r="Z28" i="6"/>
  <c r="AA28" i="6"/>
  <c r="AB28" i="6"/>
  <c r="AC28" i="6"/>
  <c r="AD28" i="6"/>
  <c r="AE28" i="6"/>
  <c r="AF28" i="6"/>
  <c r="AG28" i="6"/>
  <c r="C29" i="6"/>
  <c r="D29" i="6"/>
  <c r="E29" i="6"/>
  <c r="F29" i="6"/>
  <c r="G29" i="6"/>
  <c r="H29" i="6"/>
  <c r="I29" i="6"/>
  <c r="J29" i="6"/>
  <c r="K29" i="6"/>
  <c r="L29" i="6"/>
  <c r="M29" i="6"/>
  <c r="N29" i="6"/>
  <c r="O29" i="6"/>
  <c r="P29" i="6"/>
  <c r="Q29" i="6"/>
  <c r="R29" i="6"/>
  <c r="S29" i="6"/>
  <c r="T29" i="6"/>
  <c r="U29" i="6"/>
  <c r="V29" i="6"/>
  <c r="W29" i="6"/>
  <c r="X29" i="6"/>
  <c r="Y29" i="6"/>
  <c r="Z29" i="6"/>
  <c r="AA29" i="6"/>
  <c r="AB29" i="6"/>
  <c r="AC29" i="6"/>
  <c r="AD29" i="6"/>
  <c r="AE29" i="6"/>
  <c r="AF29" i="6"/>
  <c r="AG29" i="6"/>
  <c r="C30" i="6"/>
  <c r="D30" i="6"/>
  <c r="E30" i="6"/>
  <c r="F30" i="6"/>
  <c r="G30" i="6"/>
  <c r="H30" i="6"/>
  <c r="I30" i="6"/>
  <c r="J30" i="6"/>
  <c r="K30" i="6"/>
  <c r="L30" i="6"/>
  <c r="M30" i="6"/>
  <c r="N30" i="6"/>
  <c r="O30" i="6"/>
  <c r="P30" i="6"/>
  <c r="Q30" i="6"/>
  <c r="R30" i="6"/>
  <c r="S30" i="6"/>
  <c r="T30" i="6"/>
  <c r="U30" i="6"/>
  <c r="V30" i="6"/>
  <c r="W30" i="6"/>
  <c r="X30" i="6"/>
  <c r="Y30" i="6"/>
  <c r="Z30" i="6"/>
  <c r="AA30" i="6"/>
  <c r="AB30" i="6"/>
  <c r="AC30" i="6"/>
  <c r="AD30" i="6"/>
  <c r="AE30" i="6"/>
  <c r="AF30" i="6"/>
  <c r="AG30" i="6"/>
  <c r="C31" i="6"/>
  <c r="D31" i="6"/>
  <c r="E31" i="6"/>
  <c r="F31" i="6"/>
  <c r="G31" i="6"/>
  <c r="H31" i="6"/>
  <c r="I31" i="6"/>
  <c r="J31" i="6"/>
  <c r="K31" i="6"/>
  <c r="L31" i="6"/>
  <c r="M31" i="6"/>
  <c r="N31" i="6"/>
  <c r="O31" i="6"/>
  <c r="P31" i="6"/>
  <c r="Q31" i="6"/>
  <c r="R31" i="6"/>
  <c r="S31" i="6"/>
  <c r="T31" i="6"/>
  <c r="U31" i="6"/>
  <c r="V31" i="6"/>
  <c r="W31" i="6"/>
  <c r="X31" i="6"/>
  <c r="Y31" i="6"/>
  <c r="Z31" i="6"/>
  <c r="AA31" i="6"/>
  <c r="AB31" i="6"/>
  <c r="AC31" i="6"/>
  <c r="AD31" i="6"/>
  <c r="AE31" i="6"/>
  <c r="AF31" i="6"/>
  <c r="AG31" i="6"/>
  <c r="C32" i="6"/>
  <c r="D32" i="6"/>
  <c r="E32" i="6"/>
  <c r="F32" i="6"/>
  <c r="G32" i="6"/>
  <c r="H32" i="6"/>
  <c r="I32" i="6"/>
  <c r="J32" i="6"/>
  <c r="K32" i="6"/>
  <c r="L32" i="6"/>
  <c r="M32" i="6"/>
  <c r="N32" i="6"/>
  <c r="O32" i="6"/>
  <c r="P32" i="6"/>
  <c r="Q32" i="6"/>
  <c r="R32" i="6"/>
  <c r="S32" i="6"/>
  <c r="T32" i="6"/>
  <c r="U32" i="6"/>
  <c r="V32" i="6"/>
  <c r="W32" i="6"/>
  <c r="X32" i="6"/>
  <c r="Y32" i="6"/>
  <c r="Z32" i="6"/>
  <c r="AA32" i="6"/>
  <c r="AB32" i="6"/>
  <c r="AC32" i="6"/>
  <c r="AD32" i="6"/>
  <c r="AE32" i="6"/>
  <c r="AF32" i="6"/>
  <c r="AG32" i="6"/>
  <c r="C33" i="6"/>
  <c r="D33" i="6"/>
  <c r="E33" i="6"/>
  <c r="F33" i="6"/>
  <c r="G33" i="6"/>
  <c r="H33" i="6"/>
  <c r="I33" i="6"/>
  <c r="J33" i="6"/>
  <c r="K33" i="6"/>
  <c r="L33" i="6"/>
  <c r="M33" i="6"/>
  <c r="N33" i="6"/>
  <c r="O33" i="6"/>
  <c r="P33" i="6"/>
  <c r="Q33" i="6"/>
  <c r="R33" i="6"/>
  <c r="S33" i="6"/>
  <c r="T33" i="6"/>
  <c r="U33" i="6"/>
  <c r="V33" i="6"/>
  <c r="W33" i="6"/>
  <c r="X33" i="6"/>
  <c r="Y33" i="6"/>
  <c r="Z33" i="6"/>
  <c r="AA33" i="6"/>
  <c r="AB33" i="6"/>
  <c r="AC33" i="6"/>
  <c r="AD33" i="6"/>
  <c r="AE33" i="6"/>
  <c r="AF33" i="6"/>
  <c r="AG33" i="6"/>
  <c r="C34" i="6"/>
  <c r="D34" i="6"/>
  <c r="E34" i="6"/>
  <c r="F34" i="6"/>
  <c r="G34" i="6"/>
  <c r="H34" i="6"/>
  <c r="I34" i="6"/>
  <c r="J34" i="6"/>
  <c r="K34" i="6"/>
  <c r="L34" i="6"/>
  <c r="M34" i="6"/>
  <c r="N34" i="6"/>
  <c r="O34" i="6"/>
  <c r="P34" i="6"/>
  <c r="Q34" i="6"/>
  <c r="R34" i="6"/>
  <c r="S34" i="6"/>
  <c r="T34" i="6"/>
  <c r="U34" i="6"/>
  <c r="V34" i="6"/>
  <c r="W34" i="6"/>
  <c r="X34" i="6"/>
  <c r="Y34" i="6"/>
  <c r="Z34" i="6"/>
  <c r="AA34" i="6"/>
  <c r="AB34" i="6"/>
  <c r="AC34" i="6"/>
  <c r="AD34" i="6"/>
  <c r="AE34" i="6"/>
  <c r="AF34" i="6"/>
  <c r="AG34" i="6"/>
  <c r="C35" i="6"/>
  <c r="D35" i="6"/>
  <c r="E35" i="6"/>
  <c r="F35" i="6"/>
  <c r="G35" i="6"/>
  <c r="H35" i="6"/>
  <c r="I35" i="6"/>
  <c r="J35" i="6"/>
  <c r="K35" i="6"/>
  <c r="L35" i="6"/>
  <c r="M35" i="6"/>
  <c r="N35" i="6"/>
  <c r="O35" i="6"/>
  <c r="P35" i="6"/>
  <c r="Q35" i="6"/>
  <c r="R35" i="6"/>
  <c r="S35" i="6"/>
  <c r="T35" i="6"/>
  <c r="U35" i="6"/>
  <c r="V35" i="6"/>
  <c r="W35" i="6"/>
  <c r="X35" i="6"/>
  <c r="Y35" i="6"/>
  <c r="Z35" i="6"/>
  <c r="AA35" i="6"/>
  <c r="AB35" i="6"/>
  <c r="AC35" i="6"/>
  <c r="AD35" i="6"/>
  <c r="AE35" i="6"/>
  <c r="AF35" i="6"/>
  <c r="AG35" i="6"/>
  <c r="C36" i="6"/>
  <c r="D36" i="6"/>
  <c r="E36" i="6"/>
  <c r="F36" i="6"/>
  <c r="G36" i="6"/>
  <c r="H36" i="6"/>
  <c r="I36" i="6"/>
  <c r="J36" i="6"/>
  <c r="K36" i="6"/>
  <c r="L36" i="6"/>
  <c r="M36" i="6"/>
  <c r="N36" i="6"/>
  <c r="O36" i="6"/>
  <c r="P36" i="6"/>
  <c r="Q36" i="6"/>
  <c r="R36" i="6"/>
  <c r="S36" i="6"/>
  <c r="T36" i="6"/>
  <c r="U36" i="6"/>
  <c r="V36" i="6"/>
  <c r="W36" i="6"/>
  <c r="X36" i="6"/>
  <c r="Y36" i="6"/>
  <c r="Z36" i="6"/>
  <c r="AA36" i="6"/>
  <c r="AB36" i="6"/>
  <c r="AC36" i="6"/>
  <c r="AD36" i="6"/>
  <c r="AE36" i="6"/>
  <c r="AF36" i="6"/>
  <c r="AG36" i="6"/>
  <c r="C37" i="6"/>
  <c r="D37" i="6"/>
  <c r="E37" i="6"/>
  <c r="F37" i="6"/>
  <c r="G37" i="6"/>
  <c r="H37" i="6"/>
  <c r="I37" i="6"/>
  <c r="J37" i="6"/>
  <c r="K37" i="6"/>
  <c r="L37" i="6"/>
  <c r="M37" i="6"/>
  <c r="N37" i="6"/>
  <c r="O37" i="6"/>
  <c r="P37" i="6"/>
  <c r="Q37" i="6"/>
  <c r="R37" i="6"/>
  <c r="S37" i="6"/>
  <c r="T37" i="6"/>
  <c r="U37" i="6"/>
  <c r="V37" i="6"/>
  <c r="W37" i="6"/>
  <c r="X37" i="6"/>
  <c r="Y37" i="6"/>
  <c r="Z37" i="6"/>
  <c r="AA37" i="6"/>
  <c r="AB37" i="6"/>
  <c r="AC37" i="6"/>
  <c r="AD37" i="6"/>
  <c r="AE37" i="6"/>
  <c r="AF37" i="6"/>
  <c r="AG37" i="6"/>
  <c r="C38" i="6"/>
  <c r="D38" i="6"/>
  <c r="E38" i="6"/>
  <c r="F38" i="6"/>
  <c r="G38" i="6"/>
  <c r="H38" i="6"/>
  <c r="I38" i="6"/>
  <c r="J38" i="6"/>
  <c r="K38" i="6"/>
  <c r="L38" i="6"/>
  <c r="M38" i="6"/>
  <c r="N38" i="6"/>
  <c r="O38" i="6"/>
  <c r="P38" i="6"/>
  <c r="Q38" i="6"/>
  <c r="R38" i="6"/>
  <c r="S38" i="6"/>
  <c r="T38" i="6"/>
  <c r="U38" i="6"/>
  <c r="V38" i="6"/>
  <c r="W38" i="6"/>
  <c r="X38" i="6"/>
  <c r="Y38" i="6"/>
  <c r="Z38" i="6"/>
  <c r="AA38" i="6"/>
  <c r="AB38" i="6"/>
  <c r="AC38" i="6"/>
  <c r="AD38" i="6"/>
  <c r="AE38" i="6"/>
  <c r="AF38" i="6"/>
  <c r="AG38" i="6"/>
  <c r="C39" i="6"/>
  <c r="D39" i="6"/>
  <c r="E39" i="6"/>
  <c r="F39" i="6"/>
  <c r="G39" i="6"/>
  <c r="H39" i="6"/>
  <c r="I39" i="6"/>
  <c r="J39" i="6"/>
  <c r="K39" i="6"/>
  <c r="L39" i="6"/>
  <c r="M39" i="6"/>
  <c r="N39" i="6"/>
  <c r="O39" i="6"/>
  <c r="P39" i="6"/>
  <c r="Q39" i="6"/>
  <c r="R39" i="6"/>
  <c r="S39" i="6"/>
  <c r="T39" i="6"/>
  <c r="U39" i="6"/>
  <c r="V39" i="6"/>
  <c r="W39" i="6"/>
  <c r="X39" i="6"/>
  <c r="Y39" i="6"/>
  <c r="Z39" i="6"/>
  <c r="AA39" i="6"/>
  <c r="AB39" i="6"/>
  <c r="AC39" i="6"/>
  <c r="AD39" i="6"/>
  <c r="AE39" i="6"/>
  <c r="AF39" i="6"/>
  <c r="AG39" i="6"/>
  <c r="C40" i="6"/>
  <c r="D40" i="6"/>
  <c r="E40" i="6"/>
  <c r="F40" i="6"/>
  <c r="G40" i="6"/>
  <c r="H40" i="6"/>
  <c r="I40" i="6"/>
  <c r="J40" i="6"/>
  <c r="K40" i="6"/>
  <c r="L40" i="6"/>
  <c r="M40" i="6"/>
  <c r="N40" i="6"/>
  <c r="O40" i="6"/>
  <c r="P40" i="6"/>
  <c r="Q40" i="6"/>
  <c r="R40" i="6"/>
  <c r="S40" i="6"/>
  <c r="T40" i="6"/>
  <c r="U40" i="6"/>
  <c r="V40" i="6"/>
  <c r="W40" i="6"/>
  <c r="X40" i="6"/>
  <c r="Y40" i="6"/>
  <c r="Z40" i="6"/>
  <c r="AA40" i="6"/>
  <c r="AB40" i="6"/>
  <c r="AC40" i="6"/>
  <c r="AD40" i="6"/>
  <c r="AE40" i="6"/>
  <c r="AF40" i="6"/>
  <c r="AG40" i="6"/>
  <c r="C41" i="6"/>
  <c r="D41" i="6"/>
  <c r="E41" i="6"/>
  <c r="F41" i="6"/>
  <c r="G41" i="6"/>
  <c r="H41" i="6"/>
  <c r="I41" i="6"/>
  <c r="J41" i="6"/>
  <c r="K41" i="6"/>
  <c r="L41" i="6"/>
  <c r="M41" i="6"/>
  <c r="N41" i="6"/>
  <c r="O41" i="6"/>
  <c r="P41" i="6"/>
  <c r="Q41" i="6"/>
  <c r="R41" i="6"/>
  <c r="S41" i="6"/>
  <c r="T41" i="6"/>
  <c r="U41" i="6"/>
  <c r="V41" i="6"/>
  <c r="W41" i="6"/>
  <c r="X41" i="6"/>
  <c r="Y41" i="6"/>
  <c r="Z41" i="6"/>
  <c r="AA41" i="6"/>
  <c r="AB41" i="6"/>
  <c r="AC41" i="6"/>
  <c r="AD41" i="6"/>
  <c r="AE41" i="6"/>
  <c r="AF41" i="6"/>
  <c r="AG41" i="6"/>
  <c r="C42" i="6"/>
  <c r="D42" i="6"/>
  <c r="E42" i="6"/>
  <c r="F42" i="6"/>
  <c r="G42" i="6"/>
  <c r="H42" i="6"/>
  <c r="I42" i="6"/>
  <c r="J42" i="6"/>
  <c r="K42" i="6"/>
  <c r="L42" i="6"/>
  <c r="M42" i="6"/>
  <c r="N42" i="6"/>
  <c r="O42" i="6"/>
  <c r="P42" i="6"/>
  <c r="Q42" i="6"/>
  <c r="R42" i="6"/>
  <c r="S42" i="6"/>
  <c r="T42" i="6"/>
  <c r="U42" i="6"/>
  <c r="V42" i="6"/>
  <c r="W42" i="6"/>
  <c r="X42" i="6"/>
  <c r="Y42" i="6"/>
  <c r="Z42" i="6"/>
  <c r="AA42" i="6"/>
  <c r="AB42" i="6"/>
  <c r="AC42" i="6"/>
  <c r="AD42" i="6"/>
  <c r="AE42" i="6"/>
  <c r="AF42" i="6"/>
  <c r="AG42" i="6"/>
  <c r="C43" i="6"/>
  <c r="D43" i="6"/>
  <c r="E43" i="6"/>
  <c r="F43" i="6"/>
  <c r="G43" i="6"/>
  <c r="H43" i="6"/>
  <c r="I43" i="6"/>
  <c r="J43" i="6"/>
  <c r="K43" i="6"/>
  <c r="L43" i="6"/>
  <c r="M43" i="6"/>
  <c r="N43" i="6"/>
  <c r="O43" i="6"/>
  <c r="P43" i="6"/>
  <c r="Q43" i="6"/>
  <c r="R43" i="6"/>
  <c r="S43" i="6"/>
  <c r="T43" i="6"/>
  <c r="U43" i="6"/>
  <c r="V43" i="6"/>
  <c r="W43" i="6"/>
  <c r="X43" i="6"/>
  <c r="Y43" i="6"/>
  <c r="Z43" i="6"/>
  <c r="AA43" i="6"/>
  <c r="AB43" i="6"/>
  <c r="AC43" i="6"/>
  <c r="AD43" i="6"/>
  <c r="AE43" i="6"/>
  <c r="AF43" i="6"/>
  <c r="AG43" i="6"/>
  <c r="C44" i="6"/>
  <c r="D44" i="6"/>
  <c r="E44" i="6"/>
  <c r="F44" i="6"/>
  <c r="G44" i="6"/>
  <c r="H44" i="6"/>
  <c r="I44" i="6"/>
  <c r="J44" i="6"/>
  <c r="K44" i="6"/>
  <c r="L44" i="6"/>
  <c r="M44" i="6"/>
  <c r="N44" i="6"/>
  <c r="O44" i="6"/>
  <c r="P44" i="6"/>
  <c r="Q44" i="6"/>
  <c r="R44" i="6"/>
  <c r="S44" i="6"/>
  <c r="T44" i="6"/>
  <c r="U44" i="6"/>
  <c r="V44" i="6"/>
  <c r="W44" i="6"/>
  <c r="X44" i="6"/>
  <c r="Y44" i="6"/>
  <c r="Z44" i="6"/>
  <c r="AA44" i="6"/>
  <c r="AB44" i="6"/>
  <c r="AC44" i="6"/>
  <c r="AD44" i="6"/>
  <c r="AE44" i="6"/>
  <c r="AF44" i="6"/>
  <c r="AG44" i="6"/>
  <c r="C45" i="6"/>
  <c r="D45" i="6"/>
  <c r="E45" i="6"/>
  <c r="F45" i="6"/>
  <c r="G45" i="6"/>
  <c r="H45" i="6"/>
  <c r="I45" i="6"/>
  <c r="J45" i="6"/>
  <c r="K45" i="6"/>
  <c r="L45" i="6"/>
  <c r="M45" i="6"/>
  <c r="N45" i="6"/>
  <c r="O45" i="6"/>
  <c r="P45" i="6"/>
  <c r="Q45" i="6"/>
  <c r="R45" i="6"/>
  <c r="S45" i="6"/>
  <c r="T45" i="6"/>
  <c r="U45" i="6"/>
  <c r="V45" i="6"/>
  <c r="W45" i="6"/>
  <c r="X45" i="6"/>
  <c r="Y45" i="6"/>
  <c r="Z45" i="6"/>
  <c r="AA45" i="6"/>
  <c r="AB45" i="6"/>
  <c r="AC45" i="6"/>
  <c r="AD45" i="6"/>
  <c r="AE45" i="6"/>
  <c r="AF45" i="6"/>
  <c r="AG45" i="6"/>
  <c r="C46" i="6"/>
  <c r="D46" i="6"/>
  <c r="E46" i="6"/>
  <c r="F46" i="6"/>
  <c r="G46" i="6"/>
  <c r="H46" i="6"/>
  <c r="I46" i="6"/>
  <c r="J46" i="6"/>
  <c r="K46" i="6"/>
  <c r="L46" i="6"/>
  <c r="M46" i="6"/>
  <c r="N46" i="6"/>
  <c r="O46" i="6"/>
  <c r="P46" i="6"/>
  <c r="Q46" i="6"/>
  <c r="R46" i="6"/>
  <c r="S46" i="6"/>
  <c r="T46" i="6"/>
  <c r="U46" i="6"/>
  <c r="V46" i="6"/>
  <c r="W46" i="6"/>
  <c r="X46" i="6"/>
  <c r="Y46" i="6"/>
  <c r="Z46" i="6"/>
  <c r="AA46" i="6"/>
  <c r="AB46" i="6"/>
  <c r="AC46" i="6"/>
  <c r="AD46" i="6"/>
  <c r="AE46" i="6"/>
  <c r="AF46" i="6"/>
  <c r="AG46" i="6"/>
  <c r="C47" i="6"/>
  <c r="D47" i="6"/>
  <c r="E47" i="6"/>
  <c r="F47" i="6"/>
  <c r="G47" i="6"/>
  <c r="H47" i="6"/>
  <c r="I47" i="6"/>
  <c r="J47" i="6"/>
  <c r="K47" i="6"/>
  <c r="L47" i="6"/>
  <c r="M47" i="6"/>
  <c r="N47" i="6"/>
  <c r="O47" i="6"/>
  <c r="P47" i="6"/>
  <c r="Q47" i="6"/>
  <c r="R47" i="6"/>
  <c r="S47" i="6"/>
  <c r="T47" i="6"/>
  <c r="U47" i="6"/>
  <c r="V47" i="6"/>
  <c r="W47" i="6"/>
  <c r="X47" i="6"/>
  <c r="Y47" i="6"/>
  <c r="Z47" i="6"/>
  <c r="AA47" i="6"/>
  <c r="AB47" i="6"/>
  <c r="AC47" i="6"/>
  <c r="AD47" i="6"/>
  <c r="AE47" i="6"/>
  <c r="AF47" i="6"/>
  <c r="AG47" i="6"/>
  <c r="C48" i="6"/>
  <c r="D48" i="6"/>
  <c r="E48" i="6"/>
  <c r="F48" i="6"/>
  <c r="G48" i="6"/>
  <c r="H48" i="6"/>
  <c r="I48" i="6"/>
  <c r="J48" i="6"/>
  <c r="K48" i="6"/>
  <c r="L48" i="6"/>
  <c r="M48" i="6"/>
  <c r="N48" i="6"/>
  <c r="O48" i="6"/>
  <c r="P48" i="6"/>
  <c r="Q48" i="6"/>
  <c r="R48" i="6"/>
  <c r="S48" i="6"/>
  <c r="T48" i="6"/>
  <c r="U48" i="6"/>
  <c r="V48" i="6"/>
  <c r="W48" i="6"/>
  <c r="X48" i="6"/>
  <c r="Y48" i="6"/>
  <c r="Z48" i="6"/>
  <c r="AA48" i="6"/>
  <c r="AB48" i="6"/>
  <c r="AC48" i="6"/>
  <c r="AD48" i="6"/>
  <c r="AE48" i="6"/>
  <c r="AF48" i="6"/>
  <c r="AG48" i="6"/>
  <c r="C49" i="6"/>
  <c r="D49" i="6"/>
  <c r="E49" i="6"/>
  <c r="F49" i="6"/>
  <c r="G49" i="6"/>
  <c r="H49" i="6"/>
  <c r="I49" i="6"/>
  <c r="J49" i="6"/>
  <c r="K49" i="6"/>
  <c r="L49" i="6"/>
  <c r="M49" i="6"/>
  <c r="N49" i="6"/>
  <c r="O49" i="6"/>
  <c r="P49" i="6"/>
  <c r="Q49" i="6"/>
  <c r="R49" i="6"/>
  <c r="S49" i="6"/>
  <c r="T49" i="6"/>
  <c r="U49" i="6"/>
  <c r="V49" i="6"/>
  <c r="W49" i="6"/>
  <c r="X49" i="6"/>
  <c r="Y49" i="6"/>
  <c r="Z49" i="6"/>
  <c r="AA49" i="6"/>
  <c r="AB49" i="6"/>
  <c r="AC49" i="6"/>
  <c r="AD49" i="6"/>
  <c r="AE49" i="6"/>
  <c r="AF49" i="6"/>
  <c r="AG49" i="6"/>
  <c r="C50" i="6"/>
  <c r="D50" i="6"/>
  <c r="E50" i="6"/>
  <c r="F50" i="6"/>
  <c r="G50" i="6"/>
  <c r="H50" i="6"/>
  <c r="I50" i="6"/>
  <c r="J50" i="6"/>
  <c r="K50" i="6"/>
  <c r="L50" i="6"/>
  <c r="M50" i="6"/>
  <c r="N50" i="6"/>
  <c r="O50" i="6"/>
  <c r="P50" i="6"/>
  <c r="Q50" i="6"/>
  <c r="R50" i="6"/>
  <c r="S50" i="6"/>
  <c r="T50" i="6"/>
  <c r="U50" i="6"/>
  <c r="V50" i="6"/>
  <c r="W50" i="6"/>
  <c r="X50" i="6"/>
  <c r="Y50" i="6"/>
  <c r="Z50" i="6"/>
  <c r="AA50" i="6"/>
  <c r="AB50" i="6"/>
  <c r="AC50" i="6"/>
  <c r="AD50" i="6"/>
  <c r="AE50" i="6"/>
  <c r="AF50" i="6"/>
  <c r="AG50" i="6"/>
  <c r="C51" i="6"/>
  <c r="D51" i="6"/>
  <c r="E51" i="6"/>
  <c r="F51" i="6"/>
  <c r="G51" i="6"/>
  <c r="H51" i="6"/>
  <c r="I51" i="6"/>
  <c r="J51" i="6"/>
  <c r="K51" i="6"/>
  <c r="L51" i="6"/>
  <c r="M51" i="6"/>
  <c r="N51" i="6"/>
  <c r="O51" i="6"/>
  <c r="P51" i="6"/>
  <c r="Q51" i="6"/>
  <c r="R51" i="6"/>
  <c r="S51" i="6"/>
  <c r="T51" i="6"/>
  <c r="U51" i="6"/>
  <c r="V51" i="6"/>
  <c r="W51" i="6"/>
  <c r="X51" i="6"/>
  <c r="Y51" i="6"/>
  <c r="Z51" i="6"/>
  <c r="AA51" i="6"/>
  <c r="AB51" i="6"/>
  <c r="AC51" i="6"/>
  <c r="AD51" i="6"/>
  <c r="AE51" i="6"/>
  <c r="AF51" i="6"/>
  <c r="AG51" i="6"/>
  <c r="C52" i="6"/>
  <c r="D52" i="6"/>
  <c r="E52" i="6"/>
  <c r="F52" i="6"/>
  <c r="G52" i="6"/>
  <c r="H52" i="6"/>
  <c r="I52" i="6"/>
  <c r="J52" i="6"/>
  <c r="K52" i="6"/>
  <c r="L52" i="6"/>
  <c r="M52" i="6"/>
  <c r="N52" i="6"/>
  <c r="O52" i="6"/>
  <c r="P52" i="6"/>
  <c r="Q52" i="6"/>
  <c r="R52" i="6"/>
  <c r="S52" i="6"/>
  <c r="T52" i="6"/>
  <c r="U52" i="6"/>
  <c r="V52" i="6"/>
  <c r="W52" i="6"/>
  <c r="X52" i="6"/>
  <c r="Y52" i="6"/>
  <c r="Z52" i="6"/>
  <c r="AA52" i="6"/>
  <c r="AB52" i="6"/>
  <c r="AC52" i="6"/>
  <c r="AD52" i="6"/>
  <c r="AE52" i="6"/>
  <c r="AF52" i="6"/>
  <c r="AG52" i="6"/>
  <c r="C53" i="6"/>
  <c r="D53" i="6"/>
  <c r="E53" i="6"/>
  <c r="F53" i="6"/>
  <c r="G53" i="6"/>
  <c r="H53" i="6"/>
  <c r="I53" i="6"/>
  <c r="J53" i="6"/>
  <c r="K53" i="6"/>
  <c r="L53" i="6"/>
  <c r="M53" i="6"/>
  <c r="N53" i="6"/>
  <c r="O53" i="6"/>
  <c r="P53" i="6"/>
  <c r="Q53" i="6"/>
  <c r="R53" i="6"/>
  <c r="S53" i="6"/>
  <c r="T53" i="6"/>
  <c r="U53" i="6"/>
  <c r="V53" i="6"/>
  <c r="W53" i="6"/>
  <c r="X53" i="6"/>
  <c r="Y53" i="6"/>
  <c r="Z53" i="6"/>
  <c r="AA53" i="6"/>
  <c r="AB53" i="6"/>
  <c r="AC53" i="6"/>
  <c r="AD53" i="6"/>
  <c r="AE53" i="6"/>
  <c r="AF53" i="6"/>
  <c r="AG53" i="6"/>
  <c r="C54" i="6"/>
  <c r="D54" i="6"/>
  <c r="E54" i="6"/>
  <c r="F54" i="6"/>
  <c r="G54" i="6"/>
  <c r="H54" i="6"/>
  <c r="I54" i="6"/>
  <c r="J54" i="6"/>
  <c r="K54" i="6"/>
  <c r="L54" i="6"/>
  <c r="M54" i="6"/>
  <c r="N54" i="6"/>
  <c r="O54" i="6"/>
  <c r="P54" i="6"/>
  <c r="Q54" i="6"/>
  <c r="R54" i="6"/>
  <c r="S54" i="6"/>
  <c r="T54" i="6"/>
  <c r="U54" i="6"/>
  <c r="V54" i="6"/>
  <c r="W54" i="6"/>
  <c r="X54" i="6"/>
  <c r="Y54" i="6"/>
  <c r="Z54" i="6"/>
  <c r="AA54" i="6"/>
  <c r="AB54" i="6"/>
  <c r="AC54" i="6"/>
  <c r="AD54" i="6"/>
  <c r="AE54" i="6"/>
  <c r="AF54" i="6"/>
  <c r="AG54" i="6"/>
  <c r="C55" i="6"/>
  <c r="D55" i="6"/>
  <c r="E55" i="6"/>
  <c r="F55" i="6"/>
  <c r="G55" i="6"/>
  <c r="H55" i="6"/>
  <c r="I55" i="6"/>
  <c r="J55" i="6"/>
  <c r="K55" i="6"/>
  <c r="L55" i="6"/>
  <c r="M55" i="6"/>
  <c r="N55" i="6"/>
  <c r="O55" i="6"/>
  <c r="P55" i="6"/>
  <c r="Q55" i="6"/>
  <c r="R55" i="6"/>
  <c r="S55" i="6"/>
  <c r="T55" i="6"/>
  <c r="U55" i="6"/>
  <c r="V55" i="6"/>
  <c r="W55" i="6"/>
  <c r="X55" i="6"/>
  <c r="Y55" i="6"/>
  <c r="Z55" i="6"/>
  <c r="AA55" i="6"/>
  <c r="AB55" i="6"/>
  <c r="AC55" i="6"/>
  <c r="AD55" i="6"/>
  <c r="AE55" i="6"/>
  <c r="AF55" i="6"/>
  <c r="AG55" i="6"/>
  <c r="C56" i="6"/>
  <c r="D56" i="6"/>
  <c r="E56" i="6"/>
  <c r="F56" i="6"/>
  <c r="G56" i="6"/>
  <c r="H56" i="6"/>
  <c r="I56" i="6"/>
  <c r="J56" i="6"/>
  <c r="K56" i="6"/>
  <c r="L56" i="6"/>
  <c r="M56" i="6"/>
  <c r="N56" i="6"/>
  <c r="O56" i="6"/>
  <c r="P56" i="6"/>
  <c r="Q56" i="6"/>
  <c r="R56" i="6"/>
  <c r="S56" i="6"/>
  <c r="T56" i="6"/>
  <c r="U56" i="6"/>
  <c r="V56" i="6"/>
  <c r="W56" i="6"/>
  <c r="X56" i="6"/>
  <c r="Y56" i="6"/>
  <c r="Z56" i="6"/>
  <c r="AA56" i="6"/>
  <c r="AB56" i="6"/>
  <c r="AC56" i="6"/>
  <c r="AD56" i="6"/>
  <c r="AE56" i="6"/>
  <c r="AF56" i="6"/>
  <c r="AG56" i="6"/>
  <c r="C57" i="6"/>
  <c r="D57" i="6"/>
  <c r="E57" i="6"/>
  <c r="F57" i="6"/>
  <c r="G57" i="6"/>
  <c r="H57" i="6"/>
  <c r="I57" i="6"/>
  <c r="J57" i="6"/>
  <c r="K57" i="6"/>
  <c r="L57" i="6"/>
  <c r="M57" i="6"/>
  <c r="N57" i="6"/>
  <c r="O57" i="6"/>
  <c r="P57" i="6"/>
  <c r="Q57" i="6"/>
  <c r="R57" i="6"/>
  <c r="S57" i="6"/>
  <c r="T57" i="6"/>
  <c r="U57" i="6"/>
  <c r="V57" i="6"/>
  <c r="W57" i="6"/>
  <c r="X57" i="6"/>
  <c r="Y57" i="6"/>
  <c r="Z57" i="6"/>
  <c r="AA57" i="6"/>
  <c r="AB57" i="6"/>
  <c r="AC57" i="6"/>
  <c r="AD57" i="6"/>
  <c r="AE57" i="6"/>
  <c r="AF57" i="6"/>
  <c r="AG57" i="6"/>
  <c r="C58" i="6"/>
  <c r="D58" i="6"/>
  <c r="E58" i="6"/>
  <c r="F58" i="6"/>
  <c r="G58" i="6"/>
  <c r="H58" i="6"/>
  <c r="I58" i="6"/>
  <c r="J58" i="6"/>
  <c r="K58" i="6"/>
  <c r="L58" i="6"/>
  <c r="M58" i="6"/>
  <c r="N58" i="6"/>
  <c r="O58" i="6"/>
  <c r="P58" i="6"/>
  <c r="Q58" i="6"/>
  <c r="R58" i="6"/>
  <c r="S58" i="6"/>
  <c r="T58" i="6"/>
  <c r="U58" i="6"/>
  <c r="V58" i="6"/>
  <c r="W58" i="6"/>
  <c r="X58" i="6"/>
  <c r="Y58" i="6"/>
  <c r="Z58" i="6"/>
  <c r="AA58" i="6"/>
  <c r="AB58" i="6"/>
  <c r="AC58" i="6"/>
  <c r="AD58" i="6"/>
  <c r="AE58" i="6"/>
  <c r="AF58" i="6"/>
  <c r="AG58" i="6"/>
  <c r="C59" i="6"/>
  <c r="D59" i="6"/>
  <c r="E59" i="6"/>
  <c r="F59" i="6"/>
  <c r="G59" i="6"/>
  <c r="H59" i="6"/>
  <c r="I59" i="6"/>
  <c r="J59" i="6"/>
  <c r="K59" i="6"/>
  <c r="L59" i="6"/>
  <c r="M59" i="6"/>
  <c r="N59" i="6"/>
  <c r="O59" i="6"/>
  <c r="P59" i="6"/>
  <c r="Q59" i="6"/>
  <c r="R59" i="6"/>
  <c r="S59" i="6"/>
  <c r="T59" i="6"/>
  <c r="U59" i="6"/>
  <c r="V59" i="6"/>
  <c r="W59" i="6"/>
  <c r="X59" i="6"/>
  <c r="Y59" i="6"/>
  <c r="Z59" i="6"/>
  <c r="AA59" i="6"/>
  <c r="AB59" i="6"/>
  <c r="AC59" i="6"/>
  <c r="AD59" i="6"/>
  <c r="AE59" i="6"/>
  <c r="AF59" i="6"/>
  <c r="AG59" i="6"/>
  <c r="C60" i="6"/>
  <c r="D60" i="6"/>
  <c r="E60" i="6"/>
  <c r="F60" i="6"/>
  <c r="G60" i="6"/>
  <c r="H60" i="6"/>
  <c r="I60" i="6"/>
  <c r="J60" i="6"/>
  <c r="K60" i="6"/>
  <c r="L60" i="6"/>
  <c r="M60" i="6"/>
  <c r="N60" i="6"/>
  <c r="O60" i="6"/>
  <c r="P60" i="6"/>
  <c r="Q60" i="6"/>
  <c r="R60" i="6"/>
  <c r="S60" i="6"/>
  <c r="T60" i="6"/>
  <c r="U60" i="6"/>
  <c r="V60" i="6"/>
  <c r="W60" i="6"/>
  <c r="X60" i="6"/>
  <c r="Y60" i="6"/>
  <c r="Z60" i="6"/>
  <c r="AA60" i="6"/>
  <c r="AB60" i="6"/>
  <c r="AC60" i="6"/>
  <c r="AD60" i="6"/>
  <c r="AE60" i="6"/>
  <c r="AF60" i="6"/>
  <c r="AG60" i="6"/>
  <c r="C61" i="6"/>
  <c r="D61" i="6"/>
  <c r="E61" i="6"/>
  <c r="F61" i="6"/>
  <c r="G61" i="6"/>
  <c r="H61" i="6"/>
  <c r="I61" i="6"/>
  <c r="J61" i="6"/>
  <c r="K61" i="6"/>
  <c r="L61" i="6"/>
  <c r="M61" i="6"/>
  <c r="N61" i="6"/>
  <c r="O61" i="6"/>
  <c r="P61" i="6"/>
  <c r="Q61" i="6"/>
  <c r="R61" i="6"/>
  <c r="S61" i="6"/>
  <c r="T61" i="6"/>
  <c r="U61" i="6"/>
  <c r="V61" i="6"/>
  <c r="W61" i="6"/>
  <c r="X61" i="6"/>
  <c r="Y61" i="6"/>
  <c r="Z61" i="6"/>
  <c r="AA61" i="6"/>
  <c r="AB61" i="6"/>
  <c r="AC61" i="6"/>
  <c r="AD61" i="6"/>
  <c r="AE61" i="6"/>
  <c r="AF61" i="6"/>
  <c r="AG61"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C63" i="6"/>
  <c r="D63" i="6"/>
  <c r="E63" i="6"/>
  <c r="F63" i="6"/>
  <c r="G63" i="6"/>
  <c r="H63" i="6"/>
  <c r="I63" i="6"/>
  <c r="J63" i="6"/>
  <c r="K63" i="6"/>
  <c r="L63" i="6"/>
  <c r="M63" i="6"/>
  <c r="N63" i="6"/>
  <c r="O63" i="6"/>
  <c r="P63" i="6"/>
  <c r="Q63" i="6"/>
  <c r="R63" i="6"/>
  <c r="S63" i="6"/>
  <c r="T63" i="6"/>
  <c r="U63" i="6"/>
  <c r="V63" i="6"/>
  <c r="W63" i="6"/>
  <c r="X63" i="6"/>
  <c r="Y63" i="6"/>
  <c r="Z63" i="6"/>
  <c r="AA63" i="6"/>
  <c r="AB63" i="6"/>
  <c r="AC63" i="6"/>
  <c r="AD63" i="6"/>
  <c r="AE63" i="6"/>
  <c r="AF63" i="6"/>
  <c r="AG63" i="6"/>
  <c r="C64" i="6"/>
  <c r="D64" i="6"/>
  <c r="E64" i="6"/>
  <c r="F64" i="6"/>
  <c r="G64" i="6"/>
  <c r="H64" i="6"/>
  <c r="I64" i="6"/>
  <c r="J64" i="6"/>
  <c r="K64" i="6"/>
  <c r="L64" i="6"/>
  <c r="M64" i="6"/>
  <c r="N64" i="6"/>
  <c r="O64" i="6"/>
  <c r="P64" i="6"/>
  <c r="Q64" i="6"/>
  <c r="R64" i="6"/>
  <c r="S64" i="6"/>
  <c r="T64" i="6"/>
  <c r="U64" i="6"/>
  <c r="V64" i="6"/>
  <c r="W64" i="6"/>
  <c r="X64" i="6"/>
  <c r="Y64" i="6"/>
  <c r="Z64" i="6"/>
  <c r="AA64" i="6"/>
  <c r="AB64" i="6"/>
  <c r="AC64" i="6"/>
  <c r="AD64" i="6"/>
  <c r="AE64" i="6"/>
  <c r="AF64" i="6"/>
  <c r="AG64" i="6"/>
  <c r="C65" i="6"/>
  <c r="D65" i="6"/>
  <c r="E65" i="6"/>
  <c r="F65" i="6"/>
  <c r="G65" i="6"/>
  <c r="H65" i="6"/>
  <c r="I65" i="6"/>
  <c r="J65" i="6"/>
  <c r="K65" i="6"/>
  <c r="L65" i="6"/>
  <c r="M65" i="6"/>
  <c r="N65" i="6"/>
  <c r="O65" i="6"/>
  <c r="P65" i="6"/>
  <c r="Q65" i="6"/>
  <c r="R65" i="6"/>
  <c r="S65" i="6"/>
  <c r="T65" i="6"/>
  <c r="U65" i="6"/>
  <c r="V65" i="6"/>
  <c r="W65" i="6"/>
  <c r="X65" i="6"/>
  <c r="Y65" i="6"/>
  <c r="Z65" i="6"/>
  <c r="AA65" i="6"/>
  <c r="AB65" i="6"/>
  <c r="AC65" i="6"/>
  <c r="AD65" i="6"/>
  <c r="AE65" i="6"/>
  <c r="AF65" i="6"/>
  <c r="AG65" i="6"/>
  <c r="C66" i="6"/>
  <c r="D66" i="6"/>
  <c r="E66" i="6"/>
  <c r="F66" i="6"/>
  <c r="G66" i="6"/>
  <c r="H66" i="6"/>
  <c r="I66" i="6"/>
  <c r="J66" i="6"/>
  <c r="K66" i="6"/>
  <c r="L66" i="6"/>
  <c r="M66" i="6"/>
  <c r="N66" i="6"/>
  <c r="O66" i="6"/>
  <c r="P66" i="6"/>
  <c r="Q66" i="6"/>
  <c r="R66" i="6"/>
  <c r="S66" i="6"/>
  <c r="T66" i="6"/>
  <c r="U66" i="6"/>
  <c r="V66" i="6"/>
  <c r="W66" i="6"/>
  <c r="X66" i="6"/>
  <c r="Y66" i="6"/>
  <c r="Z66" i="6"/>
  <c r="AA66" i="6"/>
  <c r="AB66" i="6"/>
  <c r="AC66" i="6"/>
  <c r="AD66" i="6"/>
  <c r="AE66" i="6"/>
  <c r="AF66" i="6"/>
  <c r="AG66" i="6"/>
  <c r="C67" i="6"/>
  <c r="D67" i="6"/>
  <c r="E67" i="6"/>
  <c r="F67" i="6"/>
  <c r="G67" i="6"/>
  <c r="H67" i="6"/>
  <c r="I67" i="6"/>
  <c r="J67" i="6"/>
  <c r="K67" i="6"/>
  <c r="L67" i="6"/>
  <c r="M67" i="6"/>
  <c r="N67" i="6"/>
  <c r="O67" i="6"/>
  <c r="P67" i="6"/>
  <c r="Q67" i="6"/>
  <c r="R67" i="6"/>
  <c r="S67" i="6"/>
  <c r="T67" i="6"/>
  <c r="U67" i="6"/>
  <c r="V67" i="6"/>
  <c r="W67" i="6"/>
  <c r="X67" i="6"/>
  <c r="Y67" i="6"/>
  <c r="Z67" i="6"/>
  <c r="AA67" i="6"/>
  <c r="AB67" i="6"/>
  <c r="AC67" i="6"/>
  <c r="AD67" i="6"/>
  <c r="AE67" i="6"/>
  <c r="AF67" i="6"/>
  <c r="AG67" i="6"/>
  <c r="C68" i="6"/>
  <c r="D68" i="6"/>
  <c r="E68" i="6"/>
  <c r="F68" i="6"/>
  <c r="G68" i="6"/>
  <c r="H68" i="6"/>
  <c r="I68" i="6"/>
  <c r="J68" i="6"/>
  <c r="K68" i="6"/>
  <c r="L68" i="6"/>
  <c r="M68" i="6"/>
  <c r="N68" i="6"/>
  <c r="O68" i="6"/>
  <c r="P68" i="6"/>
  <c r="Q68" i="6"/>
  <c r="R68" i="6"/>
  <c r="S68" i="6"/>
  <c r="T68" i="6"/>
  <c r="U68" i="6"/>
  <c r="V68" i="6"/>
  <c r="W68" i="6"/>
  <c r="X68" i="6"/>
  <c r="Y68" i="6"/>
  <c r="Z68" i="6"/>
  <c r="AA68" i="6"/>
  <c r="AB68" i="6"/>
  <c r="AC68" i="6"/>
  <c r="AD68" i="6"/>
  <c r="AE68" i="6"/>
  <c r="AF68" i="6"/>
  <c r="AG68" i="6"/>
  <c r="C69" i="6"/>
  <c r="D69" i="6"/>
  <c r="E69" i="6"/>
  <c r="F69" i="6"/>
  <c r="G69" i="6"/>
  <c r="H69" i="6"/>
  <c r="I69" i="6"/>
  <c r="J69" i="6"/>
  <c r="K69" i="6"/>
  <c r="L69" i="6"/>
  <c r="M69" i="6"/>
  <c r="N69" i="6"/>
  <c r="O69" i="6"/>
  <c r="P69" i="6"/>
  <c r="Q69" i="6"/>
  <c r="R69" i="6"/>
  <c r="S69" i="6"/>
  <c r="T69" i="6"/>
  <c r="U69" i="6"/>
  <c r="V69" i="6"/>
  <c r="W69" i="6"/>
  <c r="X69" i="6"/>
  <c r="Y69" i="6"/>
  <c r="Z69" i="6"/>
  <c r="AA69" i="6"/>
  <c r="AB69" i="6"/>
  <c r="AC69" i="6"/>
  <c r="AD69" i="6"/>
  <c r="AE69" i="6"/>
  <c r="AF69" i="6"/>
  <c r="AG69" i="6"/>
  <c r="C70" i="6"/>
  <c r="D70" i="6"/>
  <c r="E70" i="6"/>
  <c r="F70" i="6"/>
  <c r="G70" i="6"/>
  <c r="H70" i="6"/>
  <c r="I70" i="6"/>
  <c r="J70" i="6"/>
  <c r="K70" i="6"/>
  <c r="L70" i="6"/>
  <c r="M70" i="6"/>
  <c r="N70" i="6"/>
  <c r="O70" i="6"/>
  <c r="P70" i="6"/>
  <c r="Q70" i="6"/>
  <c r="R70" i="6"/>
  <c r="S70" i="6"/>
  <c r="T70" i="6"/>
  <c r="U70" i="6"/>
  <c r="V70" i="6"/>
  <c r="W70" i="6"/>
  <c r="X70" i="6"/>
  <c r="Y70" i="6"/>
  <c r="Z70" i="6"/>
  <c r="AA70" i="6"/>
  <c r="AB70" i="6"/>
  <c r="AC70" i="6"/>
  <c r="AD70" i="6"/>
  <c r="AE70" i="6"/>
  <c r="AF70" i="6"/>
  <c r="AG70" i="6"/>
  <c r="C71" i="6"/>
  <c r="D71" i="6"/>
  <c r="E71" i="6"/>
  <c r="F71" i="6"/>
  <c r="G71" i="6"/>
  <c r="H71" i="6"/>
  <c r="I71" i="6"/>
  <c r="J71" i="6"/>
  <c r="K71" i="6"/>
  <c r="L71" i="6"/>
  <c r="M71" i="6"/>
  <c r="N71" i="6"/>
  <c r="O71" i="6"/>
  <c r="P71" i="6"/>
  <c r="Q71" i="6"/>
  <c r="R71" i="6"/>
  <c r="S71" i="6"/>
  <c r="T71" i="6"/>
  <c r="U71" i="6"/>
  <c r="V71" i="6"/>
  <c r="W71" i="6"/>
  <c r="X71" i="6"/>
  <c r="Y71" i="6"/>
  <c r="Z71" i="6"/>
  <c r="AA71" i="6"/>
  <c r="AB71" i="6"/>
  <c r="AC71" i="6"/>
  <c r="AD71" i="6"/>
  <c r="AE71" i="6"/>
  <c r="AF71" i="6"/>
  <c r="AG71" i="6"/>
  <c r="C72" i="6"/>
  <c r="D72" i="6"/>
  <c r="E72" i="6"/>
  <c r="F72" i="6"/>
  <c r="G72" i="6"/>
  <c r="H72" i="6"/>
  <c r="I72" i="6"/>
  <c r="J72" i="6"/>
  <c r="K72" i="6"/>
  <c r="L72" i="6"/>
  <c r="M72" i="6"/>
  <c r="N72" i="6"/>
  <c r="O72" i="6"/>
  <c r="P72" i="6"/>
  <c r="Q72" i="6"/>
  <c r="R72" i="6"/>
  <c r="S72" i="6"/>
  <c r="T72" i="6"/>
  <c r="U72" i="6"/>
  <c r="V72" i="6"/>
  <c r="W72" i="6"/>
  <c r="X72" i="6"/>
  <c r="Y72" i="6"/>
  <c r="Z72" i="6"/>
  <c r="AA72" i="6"/>
  <c r="AB72" i="6"/>
  <c r="AC72" i="6"/>
  <c r="AD72" i="6"/>
  <c r="AE72" i="6"/>
  <c r="AF72" i="6"/>
  <c r="AG72" i="6"/>
  <c r="C73" i="6"/>
  <c r="D73" i="6"/>
  <c r="E73" i="6"/>
  <c r="F73" i="6"/>
  <c r="G73" i="6"/>
  <c r="H73" i="6"/>
  <c r="I73" i="6"/>
  <c r="J73" i="6"/>
  <c r="K73" i="6"/>
  <c r="L73" i="6"/>
  <c r="M73" i="6"/>
  <c r="N73" i="6"/>
  <c r="O73" i="6"/>
  <c r="P73" i="6"/>
  <c r="Q73" i="6"/>
  <c r="R73" i="6"/>
  <c r="S73" i="6"/>
  <c r="T73" i="6"/>
  <c r="U73" i="6"/>
  <c r="V73" i="6"/>
  <c r="W73" i="6"/>
  <c r="X73" i="6"/>
  <c r="Y73" i="6"/>
  <c r="Z73" i="6"/>
  <c r="AA73" i="6"/>
  <c r="AB73" i="6"/>
  <c r="AC73" i="6"/>
  <c r="AD73" i="6"/>
  <c r="AE73" i="6"/>
  <c r="AF73" i="6"/>
  <c r="AG73" i="6"/>
  <c r="C74" i="6"/>
  <c r="D74" i="6"/>
  <c r="E74" i="6"/>
  <c r="F74" i="6"/>
  <c r="G74" i="6"/>
  <c r="H74" i="6"/>
  <c r="I74" i="6"/>
  <c r="J74" i="6"/>
  <c r="K74" i="6"/>
  <c r="L74" i="6"/>
  <c r="M74" i="6"/>
  <c r="N74" i="6"/>
  <c r="O74" i="6"/>
  <c r="P74" i="6"/>
  <c r="Q74" i="6"/>
  <c r="R74" i="6"/>
  <c r="S74" i="6"/>
  <c r="T74" i="6"/>
  <c r="U74" i="6"/>
  <c r="V74" i="6"/>
  <c r="W74" i="6"/>
  <c r="X74" i="6"/>
  <c r="Y74" i="6"/>
  <c r="Z74" i="6"/>
  <c r="AA74" i="6"/>
  <c r="AB74" i="6"/>
  <c r="AC74" i="6"/>
  <c r="AD74" i="6"/>
  <c r="AE74" i="6"/>
  <c r="AF74" i="6"/>
  <c r="AG74" i="6"/>
  <c r="C75" i="6"/>
  <c r="D75" i="6"/>
  <c r="E75" i="6"/>
  <c r="F75" i="6"/>
  <c r="G75" i="6"/>
  <c r="H75" i="6"/>
  <c r="I75" i="6"/>
  <c r="J75" i="6"/>
  <c r="K75" i="6"/>
  <c r="L75" i="6"/>
  <c r="M75" i="6"/>
  <c r="N75" i="6"/>
  <c r="O75" i="6"/>
  <c r="P75" i="6"/>
  <c r="Q75" i="6"/>
  <c r="R75" i="6"/>
  <c r="S75" i="6"/>
  <c r="T75" i="6"/>
  <c r="U75" i="6"/>
  <c r="V75" i="6"/>
  <c r="W75" i="6"/>
  <c r="X75" i="6"/>
  <c r="Y75" i="6"/>
  <c r="Z75" i="6"/>
  <c r="AA75" i="6"/>
  <c r="AB75" i="6"/>
  <c r="AC75" i="6"/>
  <c r="AD75" i="6"/>
  <c r="AE75" i="6"/>
  <c r="AF75" i="6"/>
  <c r="AG75" i="6"/>
  <c r="C76" i="6"/>
  <c r="D76" i="6"/>
  <c r="E76" i="6"/>
  <c r="F76" i="6"/>
  <c r="G76" i="6"/>
  <c r="H76" i="6"/>
  <c r="I76" i="6"/>
  <c r="J76" i="6"/>
  <c r="K76" i="6"/>
  <c r="L76" i="6"/>
  <c r="M76" i="6"/>
  <c r="N76" i="6"/>
  <c r="O76" i="6"/>
  <c r="P76" i="6"/>
  <c r="Q76" i="6"/>
  <c r="R76" i="6"/>
  <c r="S76" i="6"/>
  <c r="T76" i="6"/>
  <c r="U76" i="6"/>
  <c r="V76" i="6"/>
  <c r="W76" i="6"/>
  <c r="X76" i="6"/>
  <c r="Y76" i="6"/>
  <c r="Z76" i="6"/>
  <c r="AA76" i="6"/>
  <c r="AB76" i="6"/>
  <c r="AC76" i="6"/>
  <c r="AD76" i="6"/>
  <c r="AE76" i="6"/>
  <c r="AF76" i="6"/>
  <c r="AG76" i="6"/>
  <c r="C77" i="6"/>
  <c r="D77" i="6"/>
  <c r="E77" i="6"/>
  <c r="F77" i="6"/>
  <c r="G77" i="6"/>
  <c r="H77" i="6"/>
  <c r="I77" i="6"/>
  <c r="J77" i="6"/>
  <c r="K77" i="6"/>
  <c r="L77" i="6"/>
  <c r="M77" i="6"/>
  <c r="N77" i="6"/>
  <c r="O77" i="6"/>
  <c r="P77" i="6"/>
  <c r="Q77" i="6"/>
  <c r="R77" i="6"/>
  <c r="S77" i="6"/>
  <c r="T77" i="6"/>
  <c r="U77" i="6"/>
  <c r="V77" i="6"/>
  <c r="W77" i="6"/>
  <c r="X77" i="6"/>
  <c r="Y77" i="6"/>
  <c r="Z77" i="6"/>
  <c r="AA77" i="6"/>
  <c r="AB77" i="6"/>
  <c r="AC77" i="6"/>
  <c r="AD77" i="6"/>
  <c r="AE77" i="6"/>
  <c r="AF77" i="6"/>
  <c r="AG77" i="6"/>
  <c r="C78" i="6"/>
  <c r="D78" i="6"/>
  <c r="E78" i="6"/>
  <c r="F78" i="6"/>
  <c r="G78" i="6"/>
  <c r="H78" i="6"/>
  <c r="I78" i="6"/>
  <c r="J78" i="6"/>
  <c r="K78" i="6"/>
  <c r="L78" i="6"/>
  <c r="M78" i="6"/>
  <c r="N78" i="6"/>
  <c r="O78" i="6"/>
  <c r="P78" i="6"/>
  <c r="Q78" i="6"/>
  <c r="R78" i="6"/>
  <c r="S78" i="6"/>
  <c r="T78" i="6"/>
  <c r="U78" i="6"/>
  <c r="V78" i="6"/>
  <c r="W78" i="6"/>
  <c r="X78" i="6"/>
  <c r="Y78" i="6"/>
  <c r="Z78" i="6"/>
  <c r="AA78" i="6"/>
  <c r="AB78" i="6"/>
  <c r="AC78" i="6"/>
  <c r="AD78" i="6"/>
  <c r="AE78" i="6"/>
  <c r="AF78" i="6"/>
  <c r="AG78" i="6"/>
  <c r="C79" i="6"/>
  <c r="D79" i="6"/>
  <c r="E79" i="6"/>
  <c r="F79" i="6"/>
  <c r="G79" i="6"/>
  <c r="H79" i="6"/>
  <c r="I79" i="6"/>
  <c r="J79" i="6"/>
  <c r="K79" i="6"/>
  <c r="L79" i="6"/>
  <c r="M79" i="6"/>
  <c r="N79" i="6"/>
  <c r="O79" i="6"/>
  <c r="P79" i="6"/>
  <c r="Q79" i="6"/>
  <c r="R79" i="6"/>
  <c r="S79" i="6"/>
  <c r="T79" i="6"/>
  <c r="U79" i="6"/>
  <c r="V79" i="6"/>
  <c r="W79" i="6"/>
  <c r="X79" i="6"/>
  <c r="Y79" i="6"/>
  <c r="Z79" i="6"/>
  <c r="AA79" i="6"/>
  <c r="AB79" i="6"/>
  <c r="AC79" i="6"/>
  <c r="AD79" i="6"/>
  <c r="AE79" i="6"/>
  <c r="AF79" i="6"/>
  <c r="AG79" i="6"/>
  <c r="C80" i="6"/>
  <c r="D80" i="6"/>
  <c r="E80" i="6"/>
  <c r="F80" i="6"/>
  <c r="G80" i="6"/>
  <c r="H80" i="6"/>
  <c r="I80" i="6"/>
  <c r="J80" i="6"/>
  <c r="K80" i="6"/>
  <c r="L80" i="6"/>
  <c r="M80" i="6"/>
  <c r="N80" i="6"/>
  <c r="O80" i="6"/>
  <c r="P80" i="6"/>
  <c r="Q80" i="6"/>
  <c r="R80" i="6"/>
  <c r="S80" i="6"/>
  <c r="T80" i="6"/>
  <c r="U80" i="6"/>
  <c r="V80" i="6"/>
  <c r="W80" i="6"/>
  <c r="X80" i="6"/>
  <c r="Y80" i="6"/>
  <c r="Z80" i="6"/>
  <c r="AA80" i="6"/>
  <c r="AB80" i="6"/>
  <c r="AC80" i="6"/>
  <c r="AD80" i="6"/>
  <c r="AE80" i="6"/>
  <c r="AF80" i="6"/>
  <c r="AG80" i="6"/>
  <c r="C81" i="6"/>
  <c r="D81" i="6"/>
  <c r="E81" i="6"/>
  <c r="F81" i="6"/>
  <c r="G81" i="6"/>
  <c r="H81" i="6"/>
  <c r="I81" i="6"/>
  <c r="J81" i="6"/>
  <c r="K81" i="6"/>
  <c r="L81" i="6"/>
  <c r="M81" i="6"/>
  <c r="N81" i="6"/>
  <c r="O81" i="6"/>
  <c r="P81" i="6"/>
  <c r="Q81" i="6"/>
  <c r="R81" i="6"/>
  <c r="S81" i="6"/>
  <c r="T81" i="6"/>
  <c r="U81" i="6"/>
  <c r="V81" i="6"/>
  <c r="W81" i="6"/>
  <c r="X81" i="6"/>
  <c r="Y81" i="6"/>
  <c r="Z81" i="6"/>
  <c r="AA81" i="6"/>
  <c r="AB81" i="6"/>
  <c r="AC81" i="6"/>
  <c r="AD81" i="6"/>
  <c r="AE81" i="6"/>
  <c r="AF81" i="6"/>
  <c r="AG81" i="6"/>
  <c r="C82" i="6"/>
  <c r="D82" i="6"/>
  <c r="E82" i="6"/>
  <c r="F82" i="6"/>
  <c r="G82" i="6"/>
  <c r="H82" i="6"/>
  <c r="I82" i="6"/>
  <c r="J82" i="6"/>
  <c r="K82" i="6"/>
  <c r="L82" i="6"/>
  <c r="M82" i="6"/>
  <c r="N82" i="6"/>
  <c r="O82" i="6"/>
  <c r="P82" i="6"/>
  <c r="Q82" i="6"/>
  <c r="R82" i="6"/>
  <c r="S82" i="6"/>
  <c r="T82" i="6"/>
  <c r="U82" i="6"/>
  <c r="V82" i="6"/>
  <c r="W82" i="6"/>
  <c r="X82" i="6"/>
  <c r="Y82" i="6"/>
  <c r="Z82" i="6"/>
  <c r="AA82" i="6"/>
  <c r="AB82" i="6"/>
  <c r="AC82" i="6"/>
  <c r="AD82" i="6"/>
  <c r="AE82" i="6"/>
  <c r="AF82" i="6"/>
  <c r="AG82" i="6"/>
  <c r="C83" i="6"/>
  <c r="D83" i="6"/>
  <c r="E83" i="6"/>
  <c r="F83" i="6"/>
  <c r="G83" i="6"/>
  <c r="H83" i="6"/>
  <c r="I83" i="6"/>
  <c r="J83" i="6"/>
  <c r="K83" i="6"/>
  <c r="L83" i="6"/>
  <c r="M83" i="6"/>
  <c r="N83" i="6"/>
  <c r="O83" i="6"/>
  <c r="P83" i="6"/>
  <c r="Q83" i="6"/>
  <c r="R83" i="6"/>
  <c r="S83" i="6"/>
  <c r="T83" i="6"/>
  <c r="U83" i="6"/>
  <c r="V83" i="6"/>
  <c r="W83" i="6"/>
  <c r="X83" i="6"/>
  <c r="Y83" i="6"/>
  <c r="Z83" i="6"/>
  <c r="AA83" i="6"/>
  <c r="AB83" i="6"/>
  <c r="AC83" i="6"/>
  <c r="AD83" i="6"/>
  <c r="AE83" i="6"/>
  <c r="AF83" i="6"/>
  <c r="AG83" i="6"/>
  <c r="C84" i="6"/>
  <c r="D84" i="6"/>
  <c r="E84" i="6"/>
  <c r="F84" i="6"/>
  <c r="G84" i="6"/>
  <c r="H84" i="6"/>
  <c r="I84" i="6"/>
  <c r="J84" i="6"/>
  <c r="K84" i="6"/>
  <c r="L84" i="6"/>
  <c r="M84" i="6"/>
  <c r="N84" i="6"/>
  <c r="O84" i="6"/>
  <c r="P84" i="6"/>
  <c r="Q84" i="6"/>
  <c r="R84" i="6"/>
  <c r="S84" i="6"/>
  <c r="T84" i="6"/>
  <c r="U84" i="6"/>
  <c r="V84" i="6"/>
  <c r="W84" i="6"/>
  <c r="X84" i="6"/>
  <c r="Y84" i="6"/>
  <c r="Z84" i="6"/>
  <c r="AA84" i="6"/>
  <c r="AB84" i="6"/>
  <c r="AC84" i="6"/>
  <c r="AD84" i="6"/>
  <c r="AE84" i="6"/>
  <c r="AF84" i="6"/>
  <c r="AG84" i="6"/>
  <c r="C85" i="6"/>
  <c r="D85" i="6"/>
  <c r="E85" i="6"/>
  <c r="F85" i="6"/>
  <c r="G85" i="6"/>
  <c r="H85" i="6"/>
  <c r="I85" i="6"/>
  <c r="J85" i="6"/>
  <c r="K85" i="6"/>
  <c r="L85" i="6"/>
  <c r="M85" i="6"/>
  <c r="N85" i="6"/>
  <c r="O85" i="6"/>
  <c r="P85" i="6"/>
  <c r="Q85" i="6"/>
  <c r="R85" i="6"/>
  <c r="S85" i="6"/>
  <c r="T85" i="6"/>
  <c r="U85" i="6"/>
  <c r="V85" i="6"/>
  <c r="W85" i="6"/>
  <c r="X85" i="6"/>
  <c r="Y85" i="6"/>
  <c r="Z85" i="6"/>
  <c r="AA85" i="6"/>
  <c r="AB85" i="6"/>
  <c r="AC85" i="6"/>
  <c r="AD85" i="6"/>
  <c r="AE85" i="6"/>
  <c r="AF85" i="6"/>
  <c r="AG85" i="6"/>
  <c r="C86" i="6"/>
  <c r="D86" i="6"/>
  <c r="E86" i="6"/>
  <c r="F86" i="6"/>
  <c r="G86" i="6"/>
  <c r="H86" i="6"/>
  <c r="I86" i="6"/>
  <c r="J86" i="6"/>
  <c r="K86" i="6"/>
  <c r="L86" i="6"/>
  <c r="M86" i="6"/>
  <c r="N86" i="6"/>
  <c r="O86" i="6"/>
  <c r="P86" i="6"/>
  <c r="Q86" i="6"/>
  <c r="R86" i="6"/>
  <c r="S86" i="6"/>
  <c r="T86" i="6"/>
  <c r="U86" i="6"/>
  <c r="V86" i="6"/>
  <c r="W86" i="6"/>
  <c r="X86" i="6"/>
  <c r="Y86" i="6"/>
  <c r="Z86" i="6"/>
  <c r="AA86" i="6"/>
  <c r="AB86" i="6"/>
  <c r="AC86" i="6"/>
  <c r="AD86" i="6"/>
  <c r="AE86" i="6"/>
  <c r="AF86" i="6"/>
  <c r="AG86" i="6"/>
  <c r="C87" i="6"/>
  <c r="D87" i="6"/>
  <c r="E87" i="6"/>
  <c r="F87" i="6"/>
  <c r="G87" i="6"/>
  <c r="H87" i="6"/>
  <c r="I87" i="6"/>
  <c r="J87" i="6"/>
  <c r="K87" i="6"/>
  <c r="L87" i="6"/>
  <c r="M87" i="6"/>
  <c r="N87" i="6"/>
  <c r="O87" i="6"/>
  <c r="P87" i="6"/>
  <c r="Q87" i="6"/>
  <c r="R87" i="6"/>
  <c r="S87" i="6"/>
  <c r="T87" i="6"/>
  <c r="U87" i="6"/>
  <c r="V87" i="6"/>
  <c r="W87" i="6"/>
  <c r="X87" i="6"/>
  <c r="Y87" i="6"/>
  <c r="Z87" i="6"/>
  <c r="AA87" i="6"/>
  <c r="AB87" i="6"/>
  <c r="AC87" i="6"/>
  <c r="AD87" i="6"/>
  <c r="AE87" i="6"/>
  <c r="AF87" i="6"/>
  <c r="AG87" i="6"/>
  <c r="C88" i="6"/>
  <c r="D88" i="6"/>
  <c r="E88" i="6"/>
  <c r="F88" i="6"/>
  <c r="G88" i="6"/>
  <c r="H88" i="6"/>
  <c r="I88" i="6"/>
  <c r="J88" i="6"/>
  <c r="K88" i="6"/>
  <c r="L88" i="6"/>
  <c r="M88" i="6"/>
  <c r="N88" i="6"/>
  <c r="O88" i="6"/>
  <c r="P88" i="6"/>
  <c r="Q88" i="6"/>
  <c r="R88" i="6"/>
  <c r="S88" i="6"/>
  <c r="T88" i="6"/>
  <c r="U88" i="6"/>
  <c r="V88" i="6"/>
  <c r="W88" i="6"/>
  <c r="X88" i="6"/>
  <c r="Y88" i="6"/>
  <c r="Z88" i="6"/>
  <c r="AA88" i="6"/>
  <c r="AB88" i="6"/>
  <c r="AC88" i="6"/>
  <c r="AD88" i="6"/>
  <c r="AE88" i="6"/>
  <c r="AF88" i="6"/>
  <c r="AG88" i="6"/>
  <c r="C89" i="6"/>
  <c r="D89" i="6"/>
  <c r="E89" i="6"/>
  <c r="F89" i="6"/>
  <c r="G89" i="6"/>
  <c r="H89" i="6"/>
  <c r="I89" i="6"/>
  <c r="J89" i="6"/>
  <c r="K89" i="6"/>
  <c r="L89" i="6"/>
  <c r="M89" i="6"/>
  <c r="N89" i="6"/>
  <c r="O89" i="6"/>
  <c r="P89" i="6"/>
  <c r="Q89" i="6"/>
  <c r="R89" i="6"/>
  <c r="S89" i="6"/>
  <c r="T89" i="6"/>
  <c r="U89" i="6"/>
  <c r="V89" i="6"/>
  <c r="W89" i="6"/>
  <c r="X89" i="6"/>
  <c r="Y89" i="6"/>
  <c r="Z89" i="6"/>
  <c r="AA89" i="6"/>
  <c r="AB89" i="6"/>
  <c r="AC89" i="6"/>
  <c r="AD89" i="6"/>
  <c r="AE89" i="6"/>
  <c r="AF89" i="6"/>
  <c r="AG89" i="6"/>
  <c r="C90" i="6"/>
  <c r="D90" i="6"/>
  <c r="E90" i="6"/>
  <c r="F90" i="6"/>
  <c r="G90" i="6"/>
  <c r="H90" i="6"/>
  <c r="I90" i="6"/>
  <c r="J90" i="6"/>
  <c r="K90" i="6"/>
  <c r="L90" i="6"/>
  <c r="M90" i="6"/>
  <c r="N90" i="6"/>
  <c r="O90" i="6"/>
  <c r="P90" i="6"/>
  <c r="Q90" i="6"/>
  <c r="R90" i="6"/>
  <c r="S90" i="6"/>
  <c r="T90" i="6"/>
  <c r="U90" i="6"/>
  <c r="V90" i="6"/>
  <c r="W90" i="6"/>
  <c r="X90" i="6"/>
  <c r="Y90" i="6"/>
  <c r="Z90" i="6"/>
  <c r="AA90" i="6"/>
  <c r="AB90" i="6"/>
  <c r="AC90" i="6"/>
  <c r="AD90" i="6"/>
  <c r="AE90" i="6"/>
  <c r="AF90" i="6"/>
  <c r="AG90" i="6"/>
  <c r="C91" i="6"/>
  <c r="D91" i="6"/>
  <c r="E91" i="6"/>
  <c r="F91" i="6"/>
  <c r="G91" i="6"/>
  <c r="H91" i="6"/>
  <c r="I91" i="6"/>
  <c r="J91" i="6"/>
  <c r="K91" i="6"/>
  <c r="L91" i="6"/>
  <c r="M91" i="6"/>
  <c r="N91" i="6"/>
  <c r="O91" i="6"/>
  <c r="P91" i="6"/>
  <c r="Q91" i="6"/>
  <c r="R91" i="6"/>
  <c r="S91" i="6"/>
  <c r="T91" i="6"/>
  <c r="U91" i="6"/>
  <c r="V91" i="6"/>
  <c r="W91" i="6"/>
  <c r="X91" i="6"/>
  <c r="Y91" i="6"/>
  <c r="Z91" i="6"/>
  <c r="AA91" i="6"/>
  <c r="AB91" i="6"/>
  <c r="AC91" i="6"/>
  <c r="AD91" i="6"/>
  <c r="AE91" i="6"/>
  <c r="AF91" i="6"/>
  <c r="AG91" i="6"/>
  <c r="C92" i="6"/>
  <c r="D92" i="6"/>
  <c r="E92" i="6"/>
  <c r="F92" i="6"/>
  <c r="G92" i="6"/>
  <c r="H92" i="6"/>
  <c r="I92" i="6"/>
  <c r="J92" i="6"/>
  <c r="K92" i="6"/>
  <c r="L92" i="6"/>
  <c r="M92" i="6"/>
  <c r="N92" i="6"/>
  <c r="O92" i="6"/>
  <c r="P92" i="6"/>
  <c r="Q92" i="6"/>
  <c r="R92" i="6"/>
  <c r="S92" i="6"/>
  <c r="T92" i="6"/>
  <c r="U92" i="6"/>
  <c r="V92" i="6"/>
  <c r="W92" i="6"/>
  <c r="X92" i="6"/>
  <c r="Y92" i="6"/>
  <c r="Z92" i="6"/>
  <c r="AA92" i="6"/>
  <c r="AB92" i="6"/>
  <c r="AC92" i="6"/>
  <c r="AD92" i="6"/>
  <c r="AE92" i="6"/>
  <c r="AF92" i="6"/>
  <c r="AG92" i="6"/>
  <c r="C93" i="6"/>
  <c r="D93" i="6"/>
  <c r="E93" i="6"/>
  <c r="F93" i="6"/>
  <c r="G93" i="6"/>
  <c r="H93" i="6"/>
  <c r="I93" i="6"/>
  <c r="J93" i="6"/>
  <c r="K93" i="6"/>
  <c r="L93" i="6"/>
  <c r="M93" i="6"/>
  <c r="N93" i="6"/>
  <c r="O93" i="6"/>
  <c r="P93" i="6"/>
  <c r="Q93" i="6"/>
  <c r="R93" i="6"/>
  <c r="S93" i="6"/>
  <c r="T93" i="6"/>
  <c r="U93" i="6"/>
  <c r="V93" i="6"/>
  <c r="W93" i="6"/>
  <c r="X93" i="6"/>
  <c r="Y93" i="6"/>
  <c r="Z93" i="6"/>
  <c r="AA93" i="6"/>
  <c r="AB93" i="6"/>
  <c r="AC93" i="6"/>
  <c r="AD93" i="6"/>
  <c r="AE93" i="6"/>
  <c r="AF93" i="6"/>
  <c r="AG93" i="6"/>
  <c r="C94" i="6"/>
  <c r="D94" i="6"/>
  <c r="E94" i="6"/>
  <c r="F94" i="6"/>
  <c r="G94" i="6"/>
  <c r="H94" i="6"/>
  <c r="I94" i="6"/>
  <c r="J94" i="6"/>
  <c r="K94" i="6"/>
  <c r="L94" i="6"/>
  <c r="M94" i="6"/>
  <c r="N94" i="6"/>
  <c r="O94" i="6"/>
  <c r="P94" i="6"/>
  <c r="Q94" i="6"/>
  <c r="R94" i="6"/>
  <c r="S94" i="6"/>
  <c r="T94" i="6"/>
  <c r="U94" i="6"/>
  <c r="V94" i="6"/>
  <c r="W94" i="6"/>
  <c r="X94" i="6"/>
  <c r="Y94" i="6"/>
  <c r="Z94" i="6"/>
  <c r="AA94" i="6"/>
  <c r="AB94" i="6"/>
  <c r="AC94" i="6"/>
  <c r="AD94" i="6"/>
  <c r="AE94" i="6"/>
  <c r="AF94" i="6"/>
  <c r="AG94" i="6"/>
  <c r="C95" i="6"/>
  <c r="D95" i="6"/>
  <c r="E95" i="6"/>
  <c r="F95" i="6"/>
  <c r="G95" i="6"/>
  <c r="H95" i="6"/>
  <c r="I95" i="6"/>
  <c r="J95" i="6"/>
  <c r="K95" i="6"/>
  <c r="L95" i="6"/>
  <c r="M95" i="6"/>
  <c r="N95" i="6"/>
  <c r="O95" i="6"/>
  <c r="P95" i="6"/>
  <c r="Q95" i="6"/>
  <c r="R95" i="6"/>
  <c r="S95" i="6"/>
  <c r="T95" i="6"/>
  <c r="U95" i="6"/>
  <c r="V95" i="6"/>
  <c r="W95" i="6"/>
  <c r="X95" i="6"/>
  <c r="Y95" i="6"/>
  <c r="Z95" i="6"/>
  <c r="AA95" i="6"/>
  <c r="AB95" i="6"/>
  <c r="AC95" i="6"/>
  <c r="AD95" i="6"/>
  <c r="AE95" i="6"/>
  <c r="AF95" i="6"/>
  <c r="AG95" i="6"/>
  <c r="C96" i="6"/>
  <c r="D96" i="6"/>
  <c r="E96" i="6"/>
  <c r="F96" i="6"/>
  <c r="G96" i="6"/>
  <c r="H96" i="6"/>
  <c r="I96" i="6"/>
  <c r="J96" i="6"/>
  <c r="K96" i="6"/>
  <c r="L96" i="6"/>
  <c r="M96" i="6"/>
  <c r="N96" i="6"/>
  <c r="O96" i="6"/>
  <c r="P96" i="6"/>
  <c r="Q96" i="6"/>
  <c r="R96" i="6"/>
  <c r="S96" i="6"/>
  <c r="T96" i="6"/>
  <c r="U96" i="6"/>
  <c r="V96" i="6"/>
  <c r="W96" i="6"/>
  <c r="X96" i="6"/>
  <c r="Y96" i="6"/>
  <c r="Z96" i="6"/>
  <c r="AA96" i="6"/>
  <c r="AB96" i="6"/>
  <c r="AC96" i="6"/>
  <c r="AD96" i="6"/>
  <c r="AE96" i="6"/>
  <c r="AF96" i="6"/>
  <c r="AG96" i="6"/>
  <c r="C97" i="6"/>
  <c r="D97" i="6"/>
  <c r="E97" i="6"/>
  <c r="F97" i="6"/>
  <c r="G97" i="6"/>
  <c r="H97" i="6"/>
  <c r="I97" i="6"/>
  <c r="J97" i="6"/>
  <c r="K97" i="6"/>
  <c r="L97" i="6"/>
  <c r="M97" i="6"/>
  <c r="N97" i="6"/>
  <c r="O97" i="6"/>
  <c r="P97" i="6"/>
  <c r="Q97" i="6"/>
  <c r="R97" i="6"/>
  <c r="S97" i="6"/>
  <c r="T97" i="6"/>
  <c r="U97" i="6"/>
  <c r="V97" i="6"/>
  <c r="W97" i="6"/>
  <c r="X97" i="6"/>
  <c r="Y97" i="6"/>
  <c r="Z97" i="6"/>
  <c r="AA97" i="6"/>
  <c r="AB97" i="6"/>
  <c r="AC97" i="6"/>
  <c r="AD97" i="6"/>
  <c r="AE97" i="6"/>
  <c r="AF97" i="6"/>
  <c r="AG97" i="6"/>
  <c r="C98" i="6"/>
  <c r="D98" i="6"/>
  <c r="E98" i="6"/>
  <c r="F98" i="6"/>
  <c r="G98" i="6"/>
  <c r="H98" i="6"/>
  <c r="I98" i="6"/>
  <c r="J98" i="6"/>
  <c r="K98" i="6"/>
  <c r="L98" i="6"/>
  <c r="M98" i="6"/>
  <c r="N98" i="6"/>
  <c r="O98" i="6"/>
  <c r="P98" i="6"/>
  <c r="Q98" i="6"/>
  <c r="R98" i="6"/>
  <c r="S98" i="6"/>
  <c r="T98" i="6"/>
  <c r="U98" i="6"/>
  <c r="V98" i="6"/>
  <c r="W98" i="6"/>
  <c r="X98" i="6"/>
  <c r="Y98" i="6"/>
  <c r="Z98" i="6"/>
  <c r="AA98" i="6"/>
  <c r="AB98" i="6"/>
  <c r="AC98" i="6"/>
  <c r="AD98" i="6"/>
  <c r="AE98" i="6"/>
  <c r="AF98" i="6"/>
  <c r="AG98" i="6"/>
  <c r="C99" i="6"/>
  <c r="D99" i="6"/>
  <c r="E99" i="6"/>
  <c r="F99" i="6"/>
  <c r="G99" i="6"/>
  <c r="H99" i="6"/>
  <c r="I99" i="6"/>
  <c r="J99" i="6"/>
  <c r="K99" i="6"/>
  <c r="L99" i="6"/>
  <c r="M99" i="6"/>
  <c r="N99" i="6"/>
  <c r="O99" i="6"/>
  <c r="P99" i="6"/>
  <c r="Q99" i="6"/>
  <c r="R99" i="6"/>
  <c r="S99" i="6"/>
  <c r="T99" i="6"/>
  <c r="U99" i="6"/>
  <c r="V99" i="6"/>
  <c r="W99" i="6"/>
  <c r="X99" i="6"/>
  <c r="Y99" i="6"/>
  <c r="Z99" i="6"/>
  <c r="AA99" i="6"/>
  <c r="AB99" i="6"/>
  <c r="AC99" i="6"/>
  <c r="AD99" i="6"/>
  <c r="AE99" i="6"/>
  <c r="AF99" i="6"/>
  <c r="AG99" i="6"/>
  <c r="C100" i="6"/>
  <c r="D100" i="6"/>
  <c r="E100" i="6"/>
  <c r="F100" i="6"/>
  <c r="G100" i="6"/>
  <c r="H100" i="6"/>
  <c r="I100" i="6"/>
  <c r="J100" i="6"/>
  <c r="K100" i="6"/>
  <c r="L100" i="6"/>
  <c r="M100" i="6"/>
  <c r="N100" i="6"/>
  <c r="O100" i="6"/>
  <c r="P100" i="6"/>
  <c r="Q100" i="6"/>
  <c r="R100" i="6"/>
  <c r="S100" i="6"/>
  <c r="T100" i="6"/>
  <c r="U100" i="6"/>
  <c r="V100" i="6"/>
  <c r="W100" i="6"/>
  <c r="X100" i="6"/>
  <c r="Y100" i="6"/>
  <c r="Z100" i="6"/>
  <c r="AA100" i="6"/>
  <c r="AB100" i="6"/>
  <c r="AC100" i="6"/>
  <c r="AD100" i="6"/>
  <c r="AE100" i="6"/>
  <c r="AF100" i="6"/>
  <c r="AG100" i="6"/>
  <c r="C101" i="6"/>
  <c r="D101" i="6"/>
  <c r="E101" i="6"/>
  <c r="F101" i="6"/>
  <c r="G101" i="6"/>
  <c r="H101" i="6"/>
  <c r="I101" i="6"/>
  <c r="J101" i="6"/>
  <c r="K101" i="6"/>
  <c r="L101" i="6"/>
  <c r="M101" i="6"/>
  <c r="N101" i="6"/>
  <c r="O101" i="6"/>
  <c r="P101" i="6"/>
  <c r="Q101" i="6"/>
  <c r="R101" i="6"/>
  <c r="S101" i="6"/>
  <c r="T101" i="6"/>
  <c r="U101" i="6"/>
  <c r="V101" i="6"/>
  <c r="W101" i="6"/>
  <c r="X101" i="6"/>
  <c r="Y101" i="6"/>
  <c r="Z101" i="6"/>
  <c r="AA101" i="6"/>
  <c r="AB101" i="6"/>
  <c r="AC101" i="6"/>
  <c r="AD101" i="6"/>
  <c r="AE101" i="6"/>
  <c r="AF101" i="6"/>
  <c r="AG101" i="6"/>
  <c r="C102" i="6"/>
  <c r="D102" i="6"/>
  <c r="E102" i="6"/>
  <c r="F102" i="6"/>
  <c r="G102" i="6"/>
  <c r="H102" i="6"/>
  <c r="I102" i="6"/>
  <c r="J102" i="6"/>
  <c r="K102" i="6"/>
  <c r="L102" i="6"/>
  <c r="M102" i="6"/>
  <c r="N102" i="6"/>
  <c r="O102" i="6"/>
  <c r="P102" i="6"/>
  <c r="Q102" i="6"/>
  <c r="R102" i="6"/>
  <c r="S102" i="6"/>
  <c r="T102" i="6"/>
  <c r="U102" i="6"/>
  <c r="V102" i="6"/>
  <c r="W102" i="6"/>
  <c r="X102" i="6"/>
  <c r="Y102" i="6"/>
  <c r="Z102" i="6"/>
  <c r="AA102" i="6"/>
  <c r="AB102" i="6"/>
  <c r="AC102" i="6"/>
  <c r="AD102" i="6"/>
  <c r="AE102" i="6"/>
  <c r="AF102" i="6"/>
  <c r="AG102" i="6"/>
  <c r="C103" i="6"/>
  <c r="D103" i="6"/>
  <c r="E103" i="6"/>
  <c r="F103" i="6"/>
  <c r="G103" i="6"/>
  <c r="H103" i="6"/>
  <c r="I103" i="6"/>
  <c r="J103" i="6"/>
  <c r="K103" i="6"/>
  <c r="L103" i="6"/>
  <c r="M103" i="6"/>
  <c r="N103" i="6"/>
  <c r="O103" i="6"/>
  <c r="P103" i="6"/>
  <c r="Q103" i="6"/>
  <c r="R103" i="6"/>
  <c r="S103" i="6"/>
  <c r="T103" i="6"/>
  <c r="U103" i="6"/>
  <c r="V103" i="6"/>
  <c r="W103" i="6"/>
  <c r="X103" i="6"/>
  <c r="Y103" i="6"/>
  <c r="Z103" i="6"/>
  <c r="AA103" i="6"/>
  <c r="AB103" i="6"/>
  <c r="AC103" i="6"/>
  <c r="AD103" i="6"/>
  <c r="AE103" i="6"/>
  <c r="AF103" i="6"/>
  <c r="AG103" i="6"/>
  <c r="A9" i="5"/>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E4" i="3"/>
  <c r="D4" i="3"/>
  <c r="C4" i="3"/>
  <c r="B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4" i="3"/>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4" i="6"/>
  <c r="AJ5" i="6" l="1"/>
  <c r="AJ6" i="6"/>
  <c r="AJ7" i="6"/>
  <c r="AJ8" i="6"/>
  <c r="AJ22" i="6"/>
  <c r="AJ23" i="6"/>
  <c r="AJ24" i="6"/>
  <c r="AJ31" i="6"/>
  <c r="AJ32" i="6"/>
  <c r="AJ25" i="6"/>
  <c r="AJ26" i="6"/>
  <c r="AJ27" i="6"/>
  <c r="AJ28" i="6"/>
  <c r="AJ29" i="6"/>
  <c r="AJ30" i="6"/>
  <c r="AJ33" i="6"/>
  <c r="AJ34" i="6"/>
  <c r="AJ35" i="6"/>
  <c r="AJ36" i="6"/>
  <c r="AJ39" i="6"/>
  <c r="AJ52" i="6"/>
  <c r="AJ53" i="6"/>
  <c r="AJ40" i="6"/>
  <c r="AJ41" i="6"/>
  <c r="AJ42" i="6"/>
  <c r="AJ54" i="6"/>
  <c r="AJ43" i="6"/>
  <c r="AJ44" i="6"/>
  <c r="AJ45" i="6"/>
  <c r="AJ46" i="6"/>
  <c r="AJ47" i="6"/>
  <c r="AJ48" i="6"/>
  <c r="AJ49" i="6"/>
  <c r="AJ50" i="6"/>
  <c r="AJ51" i="6"/>
  <c r="AJ55" i="6"/>
  <c r="AJ57" i="6"/>
  <c r="AJ72" i="6"/>
  <c r="AJ73" i="6"/>
  <c r="AJ74" i="6"/>
  <c r="AJ58" i="6"/>
  <c r="AJ59" i="6"/>
  <c r="AJ75" i="6"/>
  <c r="AJ76" i="6"/>
  <c r="AJ60" i="6"/>
  <c r="AJ61" i="6"/>
  <c r="AJ18" i="6"/>
  <c r="AJ19" i="6"/>
  <c r="AJ77" i="6"/>
  <c r="AJ37" i="6"/>
  <c r="AJ38" i="6"/>
  <c r="AJ78" i="6"/>
  <c r="AJ70" i="6"/>
  <c r="AJ69" i="6"/>
  <c r="AJ87" i="6"/>
  <c r="AJ88" i="6"/>
  <c r="AJ89" i="6"/>
  <c r="AJ90" i="6"/>
  <c r="AJ91" i="6"/>
  <c r="AJ92" i="6"/>
  <c r="AJ93" i="6"/>
  <c r="AJ94" i="6"/>
  <c r="AJ71" i="6"/>
  <c r="AJ62" i="6"/>
  <c r="AJ63" i="6"/>
  <c r="AJ64" i="6"/>
  <c r="AJ65" i="6"/>
  <c r="AJ66" i="6"/>
  <c r="AJ79" i="6"/>
  <c r="AJ80" i="6"/>
  <c r="AJ81" i="6"/>
  <c r="AJ82" i="6"/>
  <c r="AJ83" i="6"/>
  <c r="AJ84" i="6"/>
  <c r="AJ85" i="6"/>
  <c r="AJ86" i="6"/>
  <c r="AJ95" i="6"/>
  <c r="AJ96" i="6"/>
  <c r="AJ97" i="6"/>
  <c r="AJ98" i="6"/>
  <c r="AJ99" i="6"/>
  <c r="AJ100" i="6"/>
  <c r="AJ101" i="6"/>
  <c r="AJ102" i="6"/>
  <c r="AJ103" i="6"/>
  <c r="AI73" i="6"/>
  <c r="AJ67" i="6"/>
  <c r="AJ68" i="6"/>
  <c r="AJ4" i="6"/>
  <c r="AI18" i="6"/>
  <c r="AI89" i="6"/>
  <c r="AI90" i="6"/>
  <c r="AI91" i="6"/>
  <c r="AI92" i="6"/>
  <c r="AI93" i="6"/>
  <c r="AI94" i="6"/>
  <c r="AI75" i="6"/>
  <c r="AI9" i="6"/>
  <c r="AJ9" i="6"/>
  <c r="AI10" i="6"/>
  <c r="AJ10" i="6"/>
  <c r="AI11" i="6"/>
  <c r="AJ11" i="6"/>
  <c r="AI12" i="6"/>
  <c r="AJ12" i="6"/>
  <c r="AI13" i="6"/>
  <c r="AJ13" i="6"/>
  <c r="AI14" i="6"/>
  <c r="AJ14" i="6"/>
  <c r="AI15" i="6"/>
  <c r="AJ15" i="6"/>
  <c r="AI16" i="6"/>
  <c r="AJ16" i="6"/>
  <c r="AI17" i="6"/>
  <c r="AJ17" i="6"/>
  <c r="AI20" i="6"/>
  <c r="AJ20" i="6"/>
  <c r="AI21" i="6"/>
  <c r="AJ21" i="6"/>
  <c r="AI56" i="6"/>
  <c r="AJ56" i="6"/>
  <c r="AI76" i="6"/>
  <c r="AI77" i="6"/>
  <c r="AI78" i="6"/>
  <c r="AI79" i="6"/>
  <c r="AI80" i="6"/>
  <c r="AI85" i="6"/>
  <c r="AI86" i="6"/>
  <c r="AI88" i="6"/>
  <c r="AI95" i="6"/>
  <c r="AI96" i="6"/>
  <c r="AI97" i="6"/>
  <c r="AI98" i="6"/>
  <c r="AI99" i="6"/>
  <c r="AI100" i="6"/>
  <c r="AI101" i="6"/>
  <c r="AI87" i="6"/>
  <c r="AI62" i="6"/>
  <c r="AI63" i="6"/>
  <c r="AI64" i="6"/>
  <c r="AI65" i="6"/>
  <c r="AI66" i="6"/>
  <c r="AI67" i="6"/>
  <c r="AI68" i="6"/>
  <c r="AI69" i="6"/>
  <c r="AI70" i="6"/>
  <c r="AI71" i="6"/>
  <c r="AI83" i="6"/>
  <c r="AI81" i="6"/>
  <c r="AI82" i="6"/>
  <c r="AI84" i="6"/>
  <c r="AI102" i="6"/>
  <c r="AI103" i="6"/>
  <c r="AH72" i="6"/>
  <c r="F72" i="3" s="1"/>
  <c r="AI72" i="6"/>
  <c r="AH74" i="6"/>
  <c r="F74" i="3" s="1"/>
  <c r="AI74" i="6"/>
  <c r="AH12" i="6"/>
  <c r="F12" i="3" s="1"/>
  <c r="AH15" i="6"/>
  <c r="F15" i="3" s="1"/>
  <c r="AH13" i="6"/>
  <c r="F13" i="3" s="1"/>
  <c r="AH14" i="6"/>
  <c r="F14" i="3" s="1"/>
  <c r="AH18" i="6"/>
  <c r="F18" i="3" s="1"/>
  <c r="AH10" i="6"/>
  <c r="F10" i="3" s="1"/>
  <c r="AH11" i="6"/>
  <c r="F11" i="3" s="1"/>
  <c r="AH16" i="6"/>
  <c r="F16" i="3" s="1"/>
  <c r="AH17" i="6"/>
  <c r="F17" i="3" s="1"/>
  <c r="AH62" i="6"/>
  <c r="F62" i="3" s="1"/>
  <c r="AH63" i="6"/>
  <c r="F63" i="3" s="1"/>
  <c r="AH64" i="6"/>
  <c r="F64" i="3" s="1"/>
  <c r="AH65" i="6"/>
  <c r="F65" i="3" s="1"/>
  <c r="AH66" i="6"/>
  <c r="F66" i="3" s="1"/>
  <c r="AH67" i="6"/>
  <c r="F67" i="3" s="1"/>
  <c r="AH68" i="6"/>
  <c r="F68" i="3" s="1"/>
  <c r="AH69" i="6"/>
  <c r="F69" i="3" s="1"/>
  <c r="AH70" i="6"/>
  <c r="F70" i="3" s="1"/>
  <c r="AH71" i="6"/>
  <c r="F71" i="3" s="1"/>
  <c r="AH5" i="6"/>
  <c r="F5" i="3" s="1"/>
  <c r="AI5" i="6"/>
  <c r="AH6" i="6"/>
  <c r="F6" i="3" s="1"/>
  <c r="AI6" i="6"/>
  <c r="AH7" i="6"/>
  <c r="F7" i="3" s="1"/>
  <c r="AI7" i="6"/>
  <c r="AH8" i="6"/>
  <c r="F8" i="3" s="1"/>
  <c r="AI8" i="6"/>
  <c r="AH19" i="6"/>
  <c r="F19" i="3" s="1"/>
  <c r="AI19" i="6"/>
  <c r="AH22" i="6"/>
  <c r="F22" i="3" s="1"/>
  <c r="AI22" i="6"/>
  <c r="AH23" i="6"/>
  <c r="F23" i="3" s="1"/>
  <c r="AI23" i="6"/>
  <c r="AH24" i="6"/>
  <c r="F24" i="3" s="1"/>
  <c r="AI24" i="6"/>
  <c r="AH25" i="6"/>
  <c r="F25" i="3" s="1"/>
  <c r="AI25" i="6"/>
  <c r="AH26" i="6"/>
  <c r="F26" i="3" s="1"/>
  <c r="AI26" i="6"/>
  <c r="AH27" i="6"/>
  <c r="F27" i="3" s="1"/>
  <c r="AI27" i="6"/>
  <c r="AH28" i="6"/>
  <c r="F28" i="3" s="1"/>
  <c r="AI28" i="6"/>
  <c r="AH29" i="6"/>
  <c r="F29" i="3" s="1"/>
  <c r="AI29" i="6"/>
  <c r="AH30" i="6"/>
  <c r="F30" i="3" s="1"/>
  <c r="AI30" i="6"/>
  <c r="AH31" i="6"/>
  <c r="F31" i="3" s="1"/>
  <c r="AI31" i="6"/>
  <c r="AH32" i="6"/>
  <c r="F32" i="3" s="1"/>
  <c r="AI32" i="6"/>
  <c r="AH33" i="6"/>
  <c r="F33" i="3" s="1"/>
  <c r="AI33" i="6"/>
  <c r="AH34" i="6"/>
  <c r="F34" i="3" s="1"/>
  <c r="AI34" i="6"/>
  <c r="AH35" i="6"/>
  <c r="F35" i="3" s="1"/>
  <c r="AI35" i="6"/>
  <c r="AH36" i="6"/>
  <c r="F36" i="3" s="1"/>
  <c r="AI36" i="6"/>
  <c r="AH37" i="6"/>
  <c r="F37" i="3" s="1"/>
  <c r="AI37" i="6"/>
  <c r="AH38" i="6"/>
  <c r="F38" i="3" s="1"/>
  <c r="AI38" i="6"/>
  <c r="AH39" i="6"/>
  <c r="F39" i="3" s="1"/>
  <c r="AI39" i="6"/>
  <c r="AH40" i="6"/>
  <c r="F40" i="3" s="1"/>
  <c r="AI40" i="6"/>
  <c r="AH41" i="6"/>
  <c r="F41" i="3" s="1"/>
  <c r="AI41" i="6"/>
  <c r="AH42" i="6"/>
  <c r="F42" i="3" s="1"/>
  <c r="AI42" i="6"/>
  <c r="AH43" i="6"/>
  <c r="F43" i="3" s="1"/>
  <c r="AI43" i="6"/>
  <c r="AH44" i="6"/>
  <c r="F44" i="3" s="1"/>
  <c r="AI44" i="6"/>
  <c r="AH45" i="6"/>
  <c r="F45" i="3" s="1"/>
  <c r="AI45" i="6"/>
  <c r="AH46" i="6"/>
  <c r="F46" i="3" s="1"/>
  <c r="AI46" i="6"/>
  <c r="AH47" i="6"/>
  <c r="F47" i="3" s="1"/>
  <c r="AI47" i="6"/>
  <c r="AH48" i="6"/>
  <c r="F48" i="3" s="1"/>
  <c r="AI48" i="6"/>
  <c r="AH49" i="6"/>
  <c r="F49" i="3" s="1"/>
  <c r="AI49" i="6"/>
  <c r="AH50" i="6"/>
  <c r="F50" i="3" s="1"/>
  <c r="AI50" i="6"/>
  <c r="AH51" i="6"/>
  <c r="F51" i="3" s="1"/>
  <c r="AI51" i="6"/>
  <c r="AH52" i="6"/>
  <c r="F52" i="3" s="1"/>
  <c r="AI52" i="6"/>
  <c r="AH53" i="6"/>
  <c r="F53" i="3" s="1"/>
  <c r="AI53" i="6"/>
  <c r="AH54" i="6"/>
  <c r="F54" i="3" s="1"/>
  <c r="AI54" i="6"/>
  <c r="AH55" i="6"/>
  <c r="F55" i="3" s="1"/>
  <c r="AI55" i="6"/>
  <c r="AH57" i="6"/>
  <c r="F57" i="3" s="1"/>
  <c r="AI57" i="6"/>
  <c r="AH58" i="6"/>
  <c r="F58" i="3" s="1"/>
  <c r="AI58" i="6"/>
  <c r="AH59" i="6"/>
  <c r="F59" i="3" s="1"/>
  <c r="AI59" i="6"/>
  <c r="AH60" i="6"/>
  <c r="F60" i="3" s="1"/>
  <c r="AI60" i="6"/>
  <c r="AH61" i="6"/>
  <c r="F61" i="3" s="1"/>
  <c r="AI61" i="6"/>
  <c r="AI4" i="6"/>
  <c r="AH75" i="6"/>
  <c r="F75" i="3" s="1"/>
  <c r="AH4" i="6"/>
  <c r="AH76" i="6"/>
  <c r="F76" i="3" s="1"/>
  <c r="AH20" i="6"/>
  <c r="F20" i="3" s="1"/>
  <c r="AH21" i="6"/>
  <c r="F21" i="3" s="1"/>
  <c r="AH77" i="6"/>
  <c r="F77" i="3" s="1"/>
  <c r="AH78" i="6"/>
  <c r="F78" i="3" s="1"/>
  <c r="AH79" i="6"/>
  <c r="F79" i="3" s="1"/>
  <c r="AH80" i="6"/>
  <c r="F80" i="3" s="1"/>
  <c r="AH92" i="6"/>
  <c r="F92" i="3" s="1"/>
  <c r="AH93" i="6"/>
  <c r="F93" i="3" s="1"/>
  <c r="AH81" i="6"/>
  <c r="F81" i="3" s="1"/>
  <c r="AH82" i="6"/>
  <c r="F82" i="3" s="1"/>
  <c r="AH83" i="6"/>
  <c r="F83" i="3" s="1"/>
  <c r="AH84" i="6"/>
  <c r="F84" i="3" s="1"/>
  <c r="AH85" i="6"/>
  <c r="F85" i="3" s="1"/>
  <c r="AH86" i="6"/>
  <c r="F86" i="3" s="1"/>
  <c r="AH87" i="6"/>
  <c r="F87" i="3" s="1"/>
  <c r="AH89" i="6"/>
  <c r="F89" i="3" s="1"/>
  <c r="AH90" i="6"/>
  <c r="F90" i="3" s="1"/>
  <c r="AH91" i="6"/>
  <c r="F91" i="3" s="1"/>
  <c r="AH94" i="6"/>
  <c r="F94" i="3" s="1"/>
  <c r="AH95" i="6"/>
  <c r="F95" i="3" s="1"/>
  <c r="AH96" i="6"/>
  <c r="F96" i="3" s="1"/>
  <c r="AH97" i="6"/>
  <c r="F97" i="3" s="1"/>
  <c r="AH98" i="6"/>
  <c r="F98" i="3" s="1"/>
  <c r="AH99" i="6"/>
  <c r="F99" i="3" s="1"/>
  <c r="AH100" i="6"/>
  <c r="F100" i="3" s="1"/>
  <c r="AH101" i="6"/>
  <c r="F101" i="3" s="1"/>
  <c r="AH102" i="6"/>
  <c r="F102" i="3" s="1"/>
  <c r="AH103" i="6"/>
  <c r="F103" i="3" s="1"/>
  <c r="AH9" i="6"/>
  <c r="F9" i="3" s="1"/>
  <c r="AH73" i="6"/>
  <c r="F73" i="3" s="1"/>
  <c r="AH88" i="6"/>
  <c r="F88" i="3" s="1"/>
  <c r="AH56" i="6"/>
  <c r="F56" i="3" s="1"/>
  <c r="F4" i="3" l="1"/>
  <c r="G4" i="3" s="1"/>
  <c r="H4" i="3" s="1"/>
  <c r="C9" i="5"/>
  <c r="E9" i="5"/>
  <c r="G72" i="3"/>
  <c r="H72" i="3" s="1"/>
  <c r="G74" i="3"/>
  <c r="H74" i="3" s="1"/>
  <c r="G12" i="3"/>
  <c r="H12" i="3" s="1"/>
  <c r="G15" i="3"/>
  <c r="H15" i="3" s="1"/>
  <c r="G13" i="3"/>
  <c r="H13" i="3" s="1"/>
  <c r="G14" i="3"/>
  <c r="H14" i="3" s="1"/>
  <c r="G18" i="3"/>
  <c r="H18" i="3"/>
  <c r="G10" i="3"/>
  <c r="H10" i="3" s="1"/>
  <c r="G11" i="3"/>
  <c r="H11" i="3" s="1"/>
  <c r="G16" i="3"/>
  <c r="H16" i="3" s="1"/>
  <c r="G17" i="3"/>
  <c r="H17" i="3" s="1"/>
  <c r="G62" i="3"/>
  <c r="H62" i="3" s="1"/>
  <c r="G63" i="3"/>
  <c r="H63" i="3" s="1"/>
  <c r="G64" i="3"/>
  <c r="H64" i="3" s="1"/>
  <c r="G65" i="3"/>
  <c r="H65" i="3" s="1"/>
  <c r="G66" i="3"/>
  <c r="H66" i="3"/>
  <c r="G67" i="3"/>
  <c r="H67" i="3"/>
  <c r="G68" i="3"/>
  <c r="H68" i="3"/>
  <c r="G69" i="3"/>
  <c r="H69" i="3"/>
  <c r="G70" i="3"/>
  <c r="H70" i="3"/>
  <c r="G71" i="3"/>
  <c r="H71" i="3" s="1"/>
  <c r="G5" i="3"/>
  <c r="H5" i="3" s="1"/>
  <c r="G6" i="3"/>
  <c r="H6" i="3" s="1"/>
  <c r="G7" i="3"/>
  <c r="H7" i="3" s="1"/>
  <c r="G8" i="3"/>
  <c r="H8" i="3" s="1"/>
  <c r="G19" i="3"/>
  <c r="H19" i="3" s="1"/>
  <c r="G22" i="3"/>
  <c r="H22" i="3" s="1"/>
  <c r="G23" i="3"/>
  <c r="H23" i="3" s="1"/>
  <c r="G24" i="3"/>
  <c r="H24" i="3" s="1"/>
  <c r="G25" i="3"/>
  <c r="H25" i="3" s="1"/>
  <c r="G26" i="3"/>
  <c r="H26" i="3"/>
  <c r="G27" i="3"/>
  <c r="H27" i="3"/>
  <c r="G28" i="3"/>
  <c r="H28" i="3" s="1"/>
  <c r="G29" i="3"/>
  <c r="H29" i="3" s="1"/>
  <c r="G30" i="3"/>
  <c r="H30" i="3" s="1"/>
  <c r="G31" i="3"/>
  <c r="H31" i="3"/>
  <c r="G32" i="3"/>
  <c r="H32" i="3" s="1"/>
  <c r="G33" i="3"/>
  <c r="H33" i="3" s="1"/>
  <c r="G34" i="3"/>
  <c r="H34" i="3" s="1"/>
  <c r="G35" i="3"/>
  <c r="H35" i="3" s="1"/>
  <c r="G36" i="3"/>
  <c r="H36" i="3" s="1"/>
  <c r="G37" i="3"/>
  <c r="H37" i="3"/>
  <c r="G38" i="3"/>
  <c r="H38" i="3" s="1"/>
  <c r="G39" i="3"/>
  <c r="H39" i="3" s="1"/>
  <c r="G40" i="3"/>
  <c r="H40" i="3" s="1"/>
  <c r="G41" i="3"/>
  <c r="H41" i="3"/>
  <c r="G42" i="3"/>
  <c r="H42" i="3"/>
  <c r="G43" i="3"/>
  <c r="H43" i="3" s="1"/>
  <c r="G44" i="3"/>
  <c r="H44" i="3"/>
  <c r="G45" i="3"/>
  <c r="H45" i="3" s="1"/>
  <c r="G46" i="3"/>
  <c r="H46" i="3" s="1"/>
  <c r="G47" i="3"/>
  <c r="H47" i="3" s="1"/>
  <c r="G48" i="3"/>
  <c r="H48" i="3"/>
  <c r="G49" i="3"/>
  <c r="H49" i="3"/>
  <c r="G50" i="3"/>
  <c r="H50" i="3" s="1"/>
  <c r="G51" i="3"/>
  <c r="H51" i="3"/>
  <c r="G52" i="3"/>
  <c r="H52" i="3" s="1"/>
  <c r="G53" i="3"/>
  <c r="H53" i="3" s="1"/>
  <c r="G54" i="3"/>
  <c r="H54" i="3" s="1"/>
  <c r="G55" i="3"/>
  <c r="H55" i="3" s="1"/>
  <c r="G57" i="3"/>
  <c r="H57" i="3"/>
  <c r="G58" i="3"/>
  <c r="H58" i="3"/>
  <c r="G59" i="3"/>
  <c r="H59" i="3"/>
  <c r="G60" i="3"/>
  <c r="H60" i="3" s="1"/>
  <c r="G61" i="3"/>
  <c r="H61" i="3" s="1"/>
  <c r="G75" i="3"/>
  <c r="H75" i="3"/>
  <c r="G76" i="3"/>
  <c r="H76" i="3" s="1"/>
  <c r="G20" i="3"/>
  <c r="H20" i="3"/>
  <c r="G21" i="3"/>
  <c r="H21" i="3"/>
  <c r="G77" i="3"/>
  <c r="H77" i="3" s="1"/>
  <c r="G78" i="3"/>
  <c r="H78" i="3"/>
  <c r="G79" i="3"/>
  <c r="H79" i="3" s="1"/>
  <c r="G80" i="3"/>
  <c r="H80" i="3" s="1"/>
  <c r="G92" i="3"/>
  <c r="H92" i="3" s="1"/>
  <c r="G93" i="3"/>
  <c r="H93" i="3"/>
  <c r="G81" i="3"/>
  <c r="H81" i="3" s="1"/>
  <c r="G82" i="3"/>
  <c r="H82" i="3"/>
  <c r="G83" i="3"/>
  <c r="H83" i="3" s="1"/>
  <c r="G84" i="3"/>
  <c r="H84" i="3"/>
  <c r="G85" i="3"/>
  <c r="H85" i="3"/>
  <c r="G86" i="3"/>
  <c r="H86" i="3"/>
  <c r="G87" i="3"/>
  <c r="H87" i="3"/>
  <c r="G89" i="3"/>
  <c r="H89" i="3" s="1"/>
  <c r="G90" i="3"/>
  <c r="H90" i="3"/>
  <c r="G91" i="3"/>
  <c r="H91" i="3" s="1"/>
  <c r="G94" i="3"/>
  <c r="H94" i="3" s="1"/>
  <c r="G95" i="3"/>
  <c r="H95" i="3"/>
  <c r="G96" i="3"/>
  <c r="H96" i="3" s="1"/>
  <c r="G97" i="3"/>
  <c r="H97" i="3" s="1"/>
  <c r="G98" i="3"/>
  <c r="H98" i="3" s="1"/>
  <c r="G99" i="3"/>
  <c r="H99" i="3"/>
  <c r="G100" i="3"/>
  <c r="H100" i="3"/>
  <c r="G101" i="3"/>
  <c r="H101" i="3"/>
  <c r="G102" i="3"/>
  <c r="H102" i="3"/>
  <c r="G103" i="3"/>
  <c r="H103" i="3" s="1"/>
  <c r="G9" i="3"/>
  <c r="H9" i="3" s="1"/>
  <c r="G73" i="3"/>
  <c r="H73" i="3" s="1"/>
  <c r="G88" i="3"/>
  <c r="H88" i="3" s="1"/>
  <c r="G56" i="3"/>
  <c r="H56" i="3"/>
  <c r="I72" i="3" l="1"/>
  <c r="J72" i="3" s="1"/>
  <c r="I74" i="3"/>
  <c r="J74" i="3" s="1"/>
  <c r="I12" i="3"/>
  <c r="J12" i="3" s="1"/>
  <c r="I15" i="3"/>
  <c r="J15" i="3" s="1"/>
  <c r="I13" i="3"/>
  <c r="J13" i="3" s="1"/>
  <c r="I14" i="3"/>
  <c r="J14" i="3" s="1"/>
  <c r="I18" i="3"/>
  <c r="J18" i="3" s="1"/>
  <c r="I10" i="3"/>
  <c r="J10" i="3" s="1"/>
  <c r="I11" i="3"/>
  <c r="J11" i="3" s="1"/>
  <c r="I16" i="3"/>
  <c r="J16" i="3" s="1"/>
  <c r="I17" i="3"/>
  <c r="J17" i="3" s="1"/>
  <c r="I62" i="3"/>
  <c r="J62" i="3" s="1"/>
  <c r="I63" i="3"/>
  <c r="J63" i="3" s="1"/>
  <c r="I64" i="3"/>
  <c r="J64" i="3" s="1"/>
  <c r="I65" i="3"/>
  <c r="J65" i="3" s="1"/>
  <c r="I66" i="3"/>
  <c r="J66" i="3" s="1"/>
  <c r="I67" i="3"/>
  <c r="J67" i="3" s="1"/>
  <c r="I68" i="3"/>
  <c r="J68" i="3" s="1"/>
  <c r="I69" i="3"/>
  <c r="J69" i="3" s="1"/>
  <c r="I70" i="3"/>
  <c r="J70" i="3" s="1"/>
  <c r="I71" i="3"/>
  <c r="J71" i="3" s="1"/>
  <c r="I5" i="3"/>
  <c r="J5" i="3" s="1"/>
  <c r="I6" i="3"/>
  <c r="J6" i="3" s="1"/>
  <c r="I7" i="3"/>
  <c r="J7" i="3" s="1"/>
  <c r="I8" i="3"/>
  <c r="J8" i="3" s="1"/>
  <c r="I19" i="3"/>
  <c r="J19" i="3" s="1"/>
  <c r="I22" i="3"/>
  <c r="J22" i="3" s="1"/>
  <c r="I23" i="3"/>
  <c r="J23" i="3" s="1"/>
  <c r="I24" i="3"/>
  <c r="J24" i="3" s="1"/>
  <c r="I25" i="3"/>
  <c r="J25" i="3" s="1"/>
  <c r="I26" i="3"/>
  <c r="J26" i="3" s="1"/>
  <c r="I27" i="3"/>
  <c r="J27" i="3" s="1"/>
  <c r="I28" i="3"/>
  <c r="J28" i="3" s="1"/>
  <c r="I29" i="3"/>
  <c r="J29" i="3" s="1"/>
  <c r="I30" i="3"/>
  <c r="J30" i="3" s="1"/>
  <c r="I31" i="3"/>
  <c r="J31" i="3" s="1"/>
  <c r="I32" i="3"/>
  <c r="J32" i="3" s="1"/>
  <c r="I33" i="3"/>
  <c r="J33" i="3" s="1"/>
  <c r="I34" i="3"/>
  <c r="J34" i="3" s="1"/>
  <c r="I35" i="3"/>
  <c r="J35" i="3" s="1"/>
  <c r="I36" i="3"/>
  <c r="J36" i="3" s="1"/>
  <c r="I37" i="3"/>
  <c r="J37" i="3" s="1"/>
  <c r="I38" i="3"/>
  <c r="J38" i="3" s="1"/>
  <c r="I39" i="3"/>
  <c r="J39" i="3" s="1"/>
  <c r="I40" i="3"/>
  <c r="J40" i="3" s="1"/>
  <c r="I41" i="3"/>
  <c r="J41" i="3" s="1"/>
  <c r="I42" i="3"/>
  <c r="J42" i="3" s="1"/>
  <c r="I43" i="3"/>
  <c r="J43" i="3" s="1"/>
  <c r="I44" i="3"/>
  <c r="J44" i="3" s="1"/>
  <c r="I45" i="3"/>
  <c r="J45" i="3" s="1"/>
  <c r="I46" i="3"/>
  <c r="J46" i="3" s="1"/>
  <c r="I47" i="3"/>
  <c r="J47" i="3" s="1"/>
  <c r="I48" i="3"/>
  <c r="J48" i="3" s="1"/>
  <c r="I49" i="3"/>
  <c r="J49" i="3" s="1"/>
  <c r="I50" i="3"/>
  <c r="J50" i="3" s="1"/>
  <c r="I51" i="3"/>
  <c r="J51" i="3" s="1"/>
  <c r="I52" i="3"/>
  <c r="J52" i="3" s="1"/>
  <c r="I53" i="3"/>
  <c r="J53" i="3" s="1"/>
  <c r="I54" i="3"/>
  <c r="J54" i="3" s="1"/>
  <c r="I55" i="3"/>
  <c r="J55" i="3" s="1"/>
  <c r="I57" i="3"/>
  <c r="J57" i="3" s="1"/>
  <c r="I58" i="3"/>
  <c r="J58" i="3" s="1"/>
  <c r="I59" i="3"/>
  <c r="J59" i="3" s="1"/>
  <c r="I60" i="3"/>
  <c r="J60" i="3" s="1"/>
  <c r="I61" i="3"/>
  <c r="J61" i="3" s="1"/>
  <c r="I75" i="3"/>
  <c r="J75" i="3" s="1"/>
  <c r="I76" i="3"/>
  <c r="J76" i="3" s="1"/>
  <c r="I20" i="3"/>
  <c r="J20" i="3" s="1"/>
  <c r="I21" i="3"/>
  <c r="J21" i="3" s="1"/>
  <c r="I77" i="3"/>
  <c r="J77" i="3" s="1"/>
  <c r="I78" i="3"/>
  <c r="J78" i="3" s="1"/>
  <c r="I79" i="3"/>
  <c r="J79" i="3" s="1"/>
  <c r="I80" i="3"/>
  <c r="J80" i="3" s="1"/>
  <c r="I92" i="3"/>
  <c r="J92" i="3" s="1"/>
  <c r="I93" i="3"/>
  <c r="J93" i="3" s="1"/>
  <c r="I81" i="3"/>
  <c r="J81" i="3" s="1"/>
  <c r="I82" i="3"/>
  <c r="J82" i="3" s="1"/>
  <c r="I83" i="3"/>
  <c r="J83" i="3" s="1"/>
  <c r="I84" i="3"/>
  <c r="J84" i="3" s="1"/>
  <c r="I85" i="3"/>
  <c r="J85" i="3" s="1"/>
  <c r="I86" i="3"/>
  <c r="J86" i="3" s="1"/>
  <c r="I87" i="3"/>
  <c r="J87" i="3" s="1"/>
  <c r="I89" i="3"/>
  <c r="J89" i="3" s="1"/>
  <c r="I90" i="3"/>
  <c r="J90" i="3" s="1"/>
  <c r="I91" i="3"/>
  <c r="J91" i="3" s="1"/>
  <c r="I94" i="3"/>
  <c r="J94" i="3" s="1"/>
  <c r="I95" i="3"/>
  <c r="J95" i="3" s="1"/>
  <c r="I96" i="3"/>
  <c r="J96" i="3" s="1"/>
  <c r="I97" i="3"/>
  <c r="J97" i="3" s="1"/>
  <c r="I98" i="3"/>
  <c r="J98" i="3" s="1"/>
  <c r="I99" i="3"/>
  <c r="J99" i="3" s="1"/>
  <c r="I100" i="3"/>
  <c r="J100" i="3" s="1"/>
  <c r="I101" i="3"/>
  <c r="J101" i="3" s="1"/>
  <c r="I102" i="3"/>
  <c r="J102" i="3" s="1"/>
  <c r="I103" i="3"/>
  <c r="J103" i="3" s="1"/>
  <c r="I9" i="3"/>
  <c r="J9" i="3" s="1"/>
  <c r="I73" i="3"/>
  <c r="J73" i="3" s="1"/>
  <c r="I88" i="3"/>
  <c r="J88" i="3" s="1"/>
  <c r="I56" i="3"/>
  <c r="J56" i="3" s="1"/>
  <c r="I4" i="3"/>
  <c r="J4" i="3" s="1"/>
  <c r="G9" i="5" l="1"/>
</calcChain>
</file>

<file path=xl/sharedStrings.xml><?xml version="1.0" encoding="utf-8"?>
<sst xmlns="http://schemas.openxmlformats.org/spreadsheetml/2006/main" count="873" uniqueCount="475">
  <si>
    <t>Employee_ID</t>
  </si>
  <si>
    <t>Full_Name</t>
  </si>
  <si>
    <t>Department</t>
  </si>
  <si>
    <t>Designation</t>
  </si>
  <si>
    <t>Employment_Type</t>
  </si>
  <si>
    <t>Base_Monthly_Salary_USD</t>
  </si>
  <si>
    <t>Hourly_Rate_USD</t>
  </si>
  <si>
    <t>Tax_Bracket</t>
  </si>
  <si>
    <t>Bank_Name</t>
  </si>
  <si>
    <t>Account_Number</t>
  </si>
  <si>
    <t>EMP-1001</t>
  </si>
  <si>
    <t>Alexander Wright</t>
  </si>
  <si>
    <t>Engineering</t>
  </si>
  <si>
    <t>Senior Software Engineer</t>
  </si>
  <si>
    <t>Full-Time</t>
  </si>
  <si>
    <t>Chase Bank</t>
  </si>
  <si>
    <t>ACC-982143</t>
  </si>
  <si>
    <t>EMP-1002</t>
  </si>
  <si>
    <t>Sophia Martinez</t>
  </si>
  <si>
    <t>Data Analytics</t>
  </si>
  <si>
    <t>Data Analyst</t>
  </si>
  <si>
    <t>Bank of America</t>
  </si>
  <si>
    <t>ACC-451209</t>
  </si>
  <si>
    <t>EMP-1003</t>
  </si>
  <si>
    <t>Liam Johnson</t>
  </si>
  <si>
    <t>HR</t>
  </si>
  <si>
    <t>HR Specialist</t>
  </si>
  <si>
    <t>Wells Fargo</t>
  </si>
  <si>
    <t>ACC-773412</t>
  </si>
  <si>
    <t>EMP-1004</t>
  </si>
  <si>
    <t>Olivia Smith</t>
  </si>
  <si>
    <t>Finance</t>
  </si>
  <si>
    <t>Financial Controller</t>
  </si>
  <si>
    <t>Citibank</t>
  </si>
  <si>
    <t>ACC-129845</t>
  </si>
  <si>
    <t>EMP-1005</t>
  </si>
  <si>
    <t>Noah Williams</t>
  </si>
  <si>
    <t>Marketing</t>
  </si>
  <si>
    <t>Growth Marketer</t>
  </si>
  <si>
    <t>ACC-334920</t>
  </si>
  <si>
    <t>EMP-1006</t>
  </si>
  <si>
    <t>Emma Brown</t>
  </si>
  <si>
    <t>Sales</t>
  </si>
  <si>
    <t>Account Executive</t>
  </si>
  <si>
    <t>ACC-556102</t>
  </si>
  <si>
    <t>EMP-1007</t>
  </si>
  <si>
    <t>James Jones</t>
  </si>
  <si>
    <t>Operations</t>
  </si>
  <si>
    <t>Operations Manager</t>
  </si>
  <si>
    <t>ACC-889341</t>
  </si>
  <si>
    <t>EMP-1008</t>
  </si>
  <si>
    <t>Ava Garcia</t>
  </si>
  <si>
    <t>Frontend Developer</t>
  </si>
  <si>
    <t>Contract</t>
  </si>
  <si>
    <t>ACC-221983</t>
  </si>
  <si>
    <t>EMP-1009</t>
  </si>
  <si>
    <t>William Miller</t>
  </si>
  <si>
    <t>Data Engineer</t>
  </si>
  <si>
    <t>ACC-667104</t>
  </si>
  <si>
    <t>EMP-1010</t>
  </si>
  <si>
    <t>Isabella Davis</t>
  </si>
  <si>
    <t>Recruiting Lead</t>
  </si>
  <si>
    <t>ACC-114592</t>
  </si>
  <si>
    <t>EMP-1011</t>
  </si>
  <si>
    <t>Logan Rodriguez</t>
  </si>
  <si>
    <t>Senior Accountant</t>
  </si>
  <si>
    <t>ACC-992340</t>
  </si>
  <si>
    <t>EMP-1012</t>
  </si>
  <si>
    <t>Mia Martinez</t>
  </si>
  <si>
    <t>Content Strategist</t>
  </si>
  <si>
    <t>ACC-448102</t>
  </si>
  <si>
    <t>EMP-1013</t>
  </si>
  <si>
    <t>Benjamin Hernandez</t>
  </si>
  <si>
    <t>Sales Development Rep</t>
  </si>
  <si>
    <t>ACC-771239</t>
  </si>
  <si>
    <t>EMP-1014</t>
  </si>
  <si>
    <t>Harper Lopez</t>
  </si>
  <si>
    <t>Logistics Coordinator</t>
  </si>
  <si>
    <t>ACC-332145</t>
  </si>
  <si>
    <t>EMP-1015</t>
  </si>
  <si>
    <t>Elijah Gonzalez</t>
  </si>
  <si>
    <t>DevOps Engineer</t>
  </si>
  <si>
    <t>ACC-665412</t>
  </si>
  <si>
    <t>EMP-1016</t>
  </si>
  <si>
    <t>Evelyn Wilson</t>
  </si>
  <si>
    <t>Business Intelligence Analyst</t>
  </si>
  <si>
    <t>ACC-118934</t>
  </si>
  <si>
    <t>EMP-1017</t>
  </si>
  <si>
    <t>Lucas Anderson</t>
  </si>
  <si>
    <t>HR Generalist</t>
  </si>
  <si>
    <t>ACC-554120</t>
  </si>
  <si>
    <t>EMP-1018</t>
  </si>
  <si>
    <t>Abigail Thomas</t>
  </si>
  <si>
    <t>Tax Specialist</t>
  </si>
  <si>
    <t>ACC-991204</t>
  </si>
  <si>
    <t>EMP-1019</t>
  </si>
  <si>
    <t>Mason Taylor</t>
  </si>
  <si>
    <t>SEO Specialist</t>
  </si>
  <si>
    <t>ACC-223491</t>
  </si>
  <si>
    <t>EMP-1020</t>
  </si>
  <si>
    <t>Emily Moore</t>
  </si>
  <si>
    <t>Enterprise Account Director</t>
  </si>
  <si>
    <t>ACC-881203</t>
  </si>
  <si>
    <t>EMP-1021</t>
  </si>
  <si>
    <t>Ethan Jackson</t>
  </si>
  <si>
    <t>Supply Chain Analyst</t>
  </si>
  <si>
    <t>ACC-442198</t>
  </si>
  <si>
    <t>EMP-1022</t>
  </si>
  <si>
    <t>Elizabeth Martin</t>
  </si>
  <si>
    <t>Backend Engineer</t>
  </si>
  <si>
    <t>ACC-776102</t>
  </si>
  <si>
    <t>EMP-1023</t>
  </si>
  <si>
    <t>Jacob Lee</t>
  </si>
  <si>
    <t>Machine Learning Engineer</t>
  </si>
  <si>
    <t>ACC-331894</t>
  </si>
  <si>
    <t>EMP-1024</t>
  </si>
  <si>
    <t>Mila Perez</t>
  </si>
  <si>
    <t>Compensation &amp; Benefits Mgr</t>
  </si>
  <si>
    <t>ACC-559123</t>
  </si>
  <si>
    <t>EMP-1025</t>
  </si>
  <si>
    <t>Michael Thompson</t>
  </si>
  <si>
    <t>Accounts Payable Specialist</t>
  </si>
  <si>
    <t>ACC-112345</t>
  </si>
  <si>
    <t>EMP-1026</t>
  </si>
  <si>
    <t>Ella White</t>
  </si>
  <si>
    <t>PPC Specialist</t>
  </si>
  <si>
    <t>ACC-994102</t>
  </si>
  <si>
    <t>EMP-1027</t>
  </si>
  <si>
    <t>Daniel Harris</t>
  </si>
  <si>
    <t>Account Manager</t>
  </si>
  <si>
    <t>ACC-668934</t>
  </si>
  <si>
    <t>EMP-1028</t>
  </si>
  <si>
    <t>Aria Sanchez</t>
  </si>
  <si>
    <t>Operations Specialist</t>
  </si>
  <si>
    <t>ACC-221049</t>
  </si>
  <si>
    <t>EMP-1029</t>
  </si>
  <si>
    <t>Henry Clark</t>
  </si>
  <si>
    <t>Full Stack Engineer</t>
  </si>
  <si>
    <t>ACC-773210</t>
  </si>
  <si>
    <t>EMP-1030</t>
  </si>
  <si>
    <t>Chloe Ramirez</t>
  </si>
  <si>
    <t>Data Architect</t>
  </si>
  <si>
    <t>ACC-445120</t>
  </si>
  <si>
    <t>EMP-1031</t>
  </si>
  <si>
    <t>Jackson Lewis</t>
  </si>
  <si>
    <t>HR Coordinator</t>
  </si>
  <si>
    <t>ACC-118342</t>
  </si>
  <si>
    <t>EMP-1032</t>
  </si>
  <si>
    <t>Penelope Robinson</t>
  </si>
  <si>
    <t>Junior Accountant</t>
  </si>
  <si>
    <t>ACC-992143</t>
  </si>
  <si>
    <t>EMP-1033</t>
  </si>
  <si>
    <t>Sebastian Walker</t>
  </si>
  <si>
    <t>Brand Manager</t>
  </si>
  <si>
    <t>ACC-551209</t>
  </si>
  <si>
    <t>EMP-1034</t>
  </si>
  <si>
    <t>Layla Young</t>
  </si>
  <si>
    <t>Sales Operations Analyst</t>
  </si>
  <si>
    <t>ACC-337341</t>
  </si>
  <si>
    <t>EMP-1035</t>
  </si>
  <si>
    <t>Jack Allen</t>
  </si>
  <si>
    <t>Quality Assurance Lead</t>
  </si>
  <si>
    <t>ACC-884120</t>
  </si>
  <si>
    <t>EMP-1036</t>
  </si>
  <si>
    <t>Riley King</t>
  </si>
  <si>
    <t>Security Engineer</t>
  </si>
  <si>
    <t>ACC-229104</t>
  </si>
  <si>
    <t>EMP-1037</t>
  </si>
  <si>
    <t>Aiden Wright</t>
  </si>
  <si>
    <t>Data Visualization Specialist</t>
  </si>
  <si>
    <t>ACC-661239</t>
  </si>
  <si>
    <t>EMP-1038</t>
  </si>
  <si>
    <t>Zoey Scott</t>
  </si>
  <si>
    <t>HR Director</t>
  </si>
  <si>
    <t>ACC-112198</t>
  </si>
  <si>
    <t>EMP-1039</t>
  </si>
  <si>
    <t>Gabriel Torres</t>
  </si>
  <si>
    <t>Internal Auditor</t>
  </si>
  <si>
    <t>ACC-994512</t>
  </si>
  <si>
    <t>EMP-1040</t>
  </si>
  <si>
    <t>Nora Nguyen</t>
  </si>
  <si>
    <t>Social Media Manager</t>
  </si>
  <si>
    <t>ACC-448934</t>
  </si>
  <si>
    <t>EMP-1041</t>
  </si>
  <si>
    <t>Samual Hill</t>
  </si>
  <si>
    <t>Regional Sales Manager</t>
  </si>
  <si>
    <t>ACC-771049</t>
  </si>
  <si>
    <t>EMP-1042</t>
  </si>
  <si>
    <t>Lily Flores</t>
  </si>
  <si>
    <t>Facilities Manager</t>
  </si>
  <si>
    <t>ACC-335120</t>
  </si>
  <si>
    <t>EMP-1043</t>
  </si>
  <si>
    <t>David Green</t>
  </si>
  <si>
    <t>Systems Administrator</t>
  </si>
  <si>
    <t>ACC-552143</t>
  </si>
  <si>
    <t>EMP-1044</t>
  </si>
  <si>
    <t>Eleanor Adams</t>
  </si>
  <si>
    <t>Database Administrator</t>
  </si>
  <si>
    <t>ACC-119834</t>
  </si>
  <si>
    <t>EMP-1045</t>
  </si>
  <si>
    <t>Carter Nelson</t>
  </si>
  <si>
    <t>Payroll Specialist</t>
  </si>
  <si>
    <t>ACC-996102</t>
  </si>
  <si>
    <t>EMP-1046</t>
  </si>
  <si>
    <t>Hannah Baker</t>
  </si>
  <si>
    <t>Budget Analyst</t>
  </si>
  <si>
    <t>ACC-223412</t>
  </si>
  <si>
    <t>EMP-1047</t>
  </si>
  <si>
    <t>Wyatt Hall</t>
  </si>
  <si>
    <t>Email Marketing Specialist</t>
  </si>
  <si>
    <t>ACC-881204</t>
  </si>
  <si>
    <t>EMP-1048</t>
  </si>
  <si>
    <t>Addison Rivera</t>
  </si>
  <si>
    <t>Inside Sales Representative</t>
  </si>
  <si>
    <t>ACC-441239</t>
  </si>
  <si>
    <t>EMP-1049</t>
  </si>
  <si>
    <t>Jayden Campbell</t>
  </si>
  <si>
    <t>Inventory Manager</t>
  </si>
  <si>
    <t>ACC-778934</t>
  </si>
  <si>
    <t>EMP-1050</t>
  </si>
  <si>
    <t>Aubrey Mitchell</t>
  </si>
  <si>
    <t>Mobile App Developer</t>
  </si>
  <si>
    <t>ACC-331049</t>
  </si>
  <si>
    <t>EMP-1051</t>
  </si>
  <si>
    <t>John Carter</t>
  </si>
  <si>
    <t>Junior Data Analyst</t>
  </si>
  <si>
    <t>ACC-662198</t>
  </si>
  <si>
    <t>EMP-1052</t>
  </si>
  <si>
    <t>Stella Roberts</t>
  </si>
  <si>
    <t>Talent Acquisition Specialist</t>
  </si>
  <si>
    <t>ACC-115120</t>
  </si>
  <si>
    <t>EMP-1053</t>
  </si>
  <si>
    <t>Luke Gomez</t>
  </si>
  <si>
    <t>Senior Financial Analyst</t>
  </si>
  <si>
    <t>ACC-998341</t>
  </si>
  <si>
    <t>EMP-1054</t>
  </si>
  <si>
    <t>Natalie Phillips</t>
  </si>
  <si>
    <t>Marketing Coordinator</t>
  </si>
  <si>
    <t>ACC-224120</t>
  </si>
  <si>
    <t>EMP-1055</t>
  </si>
  <si>
    <t>Grayson Evans</t>
  </si>
  <si>
    <t>VP of Global Sales</t>
  </si>
  <si>
    <t>ACC-771983</t>
  </si>
  <si>
    <t>EMP-1056</t>
  </si>
  <si>
    <t>Leah Turner</t>
  </si>
  <si>
    <t>Logistics Analyst</t>
  </si>
  <si>
    <t>ACC-442340</t>
  </si>
  <si>
    <t>EMP-1057</t>
  </si>
  <si>
    <t>Julian Perez</t>
  </si>
  <si>
    <t>Cloud Architect</t>
  </si>
  <si>
    <t>EMP-1058</t>
  </si>
  <si>
    <t>Hazel Cooper</t>
  </si>
  <si>
    <t>Analytics Manager</t>
  </si>
  <si>
    <t>ACC-338934</t>
  </si>
  <si>
    <t>EMP-1059</t>
  </si>
  <si>
    <t>Caleb Richardson</t>
  </si>
  <si>
    <t>HR Operations Manager</t>
  </si>
  <si>
    <t>ACC-552198</t>
  </si>
  <si>
    <t>EMP-1060</t>
  </si>
  <si>
    <t>Violet Cox</t>
  </si>
  <si>
    <t>Billing Specialist</t>
  </si>
  <si>
    <t>ACC-111049</t>
  </si>
  <si>
    <t>EMP-1061</t>
  </si>
  <si>
    <t>Ryan Howard</t>
  </si>
  <si>
    <t>Public Relations Specialist</t>
  </si>
  <si>
    <t>ACC-995120</t>
  </si>
  <si>
    <t>EMP-1062</t>
  </si>
  <si>
    <t>Aurora Ward</t>
  </si>
  <si>
    <t>Account Representative</t>
  </si>
  <si>
    <t>ACC-227341</t>
  </si>
  <si>
    <t>EMP-1063</t>
  </si>
  <si>
    <t>Asher Torres</t>
  </si>
  <si>
    <t>Operations Supervisor</t>
  </si>
  <si>
    <t>ACC-661204</t>
  </si>
  <si>
    <t>EMP-1064</t>
  </si>
  <si>
    <t>Savannah Peterson</t>
  </si>
  <si>
    <t>QA Automation Engineer</t>
  </si>
  <si>
    <t>ACC-113412</t>
  </si>
  <si>
    <t>EMP-1065</t>
  </si>
  <si>
    <t>Christian Gray</t>
  </si>
  <si>
    <t>BI Developer</t>
  </si>
  <si>
    <t>ACC-884512</t>
  </si>
  <si>
    <t>EMP-1066</t>
  </si>
  <si>
    <t>Brooklyn Ramirez</t>
  </si>
  <si>
    <t>HR Assistant</t>
  </si>
  <si>
    <t>ACC-332198</t>
  </si>
  <si>
    <t>EMP-1067</t>
  </si>
  <si>
    <t>Hunter James</t>
  </si>
  <si>
    <t>Treasury Analyst</t>
  </si>
  <si>
    <t>ACC-559834</t>
  </si>
  <si>
    <t>EMP-1068</t>
  </si>
  <si>
    <t>Bella Watson</t>
  </si>
  <si>
    <t>Copywriter</t>
  </si>
  <si>
    <t>ACC-111239</t>
  </si>
  <si>
    <t>EMP-1069</t>
  </si>
  <si>
    <t>Eli Brooks</t>
  </si>
  <si>
    <t>Business Development Manager</t>
  </si>
  <si>
    <t>ACC-992198</t>
  </si>
  <si>
    <t>EMP-1070</t>
  </si>
  <si>
    <t>Skylar Kelly</t>
  </si>
  <si>
    <t>Procurement Officer</t>
  </si>
  <si>
    <t>ACC-447341</t>
  </si>
  <si>
    <t>EMP-1071</t>
  </si>
  <si>
    <t>Jonathan Sanders</t>
  </si>
  <si>
    <t>Software Architect</t>
  </si>
  <si>
    <t>ACC-778102</t>
  </si>
  <si>
    <t>EMP-1072</t>
  </si>
  <si>
    <t>Paisley Price</t>
  </si>
  <si>
    <t>Data Quality Specialist</t>
  </si>
  <si>
    <t>ACC-331203</t>
  </si>
  <si>
    <t>EMP-1073</t>
  </si>
  <si>
    <t>Nolan Bennett</t>
  </si>
  <si>
    <t>Benefits Administrator</t>
  </si>
  <si>
    <t>ACC-664120</t>
  </si>
  <si>
    <t>EMP-1074</t>
  </si>
  <si>
    <t>Caroline Wood</t>
  </si>
  <si>
    <t>Payroll Manager</t>
  </si>
  <si>
    <t>ACC-112143</t>
  </si>
  <si>
    <t>EMP-1075</t>
  </si>
  <si>
    <t>Dominic Barnes</t>
  </si>
  <si>
    <t>Product Marketing Manager</t>
  </si>
  <si>
    <t>ACC-995912</t>
  </si>
  <si>
    <t>EMP-1076</t>
  </si>
  <si>
    <t>Madelyn Ross</t>
  </si>
  <si>
    <t>Sales Associate</t>
  </si>
  <si>
    <t>ACC-223210</t>
  </si>
  <si>
    <t>EMP-1077</t>
  </si>
  <si>
    <t>Lincoln Henderson</t>
  </si>
  <si>
    <t>Warehouse Supervisor</t>
  </si>
  <si>
    <t>ACC-881239</t>
  </si>
  <si>
    <t>EMP-1078</t>
  </si>
  <si>
    <t>Sarah Coleman</t>
  </si>
  <si>
    <t>Frontend Specialist</t>
  </si>
  <si>
    <t>ACC-449834</t>
  </si>
  <si>
    <t>EMP-1079</t>
  </si>
  <si>
    <t>Landon Jenkins</t>
  </si>
  <si>
    <t>Senior Data Engineer</t>
  </si>
  <si>
    <t>ACC-772198</t>
  </si>
  <si>
    <t>EMP-1080</t>
  </si>
  <si>
    <t>Kinsley Perry</t>
  </si>
  <si>
    <t>HR Consultant</t>
  </si>
  <si>
    <t>ACC-335143</t>
  </si>
  <si>
    <t>EMP-1081</t>
  </si>
  <si>
    <t>Aaron Powell</t>
  </si>
  <si>
    <t>Accounting Manager</t>
  </si>
  <si>
    <t>ACC-661209</t>
  </si>
  <si>
    <t>EMP-1082</t>
  </si>
  <si>
    <t>Emilia Long</t>
  </si>
  <si>
    <t>Creative Director</t>
  </si>
  <si>
    <t>ACC-118412</t>
  </si>
  <si>
    <t>EMP-1083</t>
  </si>
  <si>
    <t>Thomas Patterson</t>
  </si>
  <si>
    <t>Strategic Account Manager</t>
  </si>
  <si>
    <t>ACC-992341</t>
  </si>
  <si>
    <t>EMP-1084</t>
  </si>
  <si>
    <t>Elena Hughes</t>
  </si>
  <si>
    <t>Logistics Manager</t>
  </si>
  <si>
    <t>ACC-225120</t>
  </si>
  <si>
    <t>EMP-1085</t>
  </si>
  <si>
    <t>Charles Flores</t>
  </si>
  <si>
    <t>Site Reliability Engineer</t>
  </si>
  <si>
    <t>ACC-883412</t>
  </si>
  <si>
    <t>EMP-1086</t>
  </si>
  <si>
    <t>Lucy Washington</t>
  </si>
  <si>
    <t>Data Operations Lead</t>
  </si>
  <si>
    <t>ACC-441983</t>
  </si>
  <si>
    <t>EMP-1087</t>
  </si>
  <si>
    <t>Connor Butler</t>
  </si>
  <si>
    <t>Recruiter</t>
  </si>
  <si>
    <t>ACC-776120</t>
  </si>
  <si>
    <t>EMP-1088</t>
  </si>
  <si>
    <t>Clara Simmons</t>
  </si>
  <si>
    <t>Financial Analyst</t>
  </si>
  <si>
    <t>ACC-331239</t>
  </si>
  <si>
    <t>EMP-1089</t>
  </si>
  <si>
    <t>Jeremiah Foster</t>
  </si>
  <si>
    <t>SEO Manager</t>
  </si>
  <si>
    <t>ACC-669123</t>
  </si>
  <si>
    <t>EMP-1090</t>
  </si>
  <si>
    <t>Maya Gonzales</t>
  </si>
  <si>
    <t>Sales Support Specialist</t>
  </si>
  <si>
    <t>ACC-112340</t>
  </si>
  <si>
    <t>EMP-1091</t>
  </si>
  <si>
    <t>Easton Bryant</t>
  </si>
  <si>
    <t>Supply Chain Manager</t>
  </si>
  <si>
    <t>ACC-991203</t>
  </si>
  <si>
    <t>EMP-1092</t>
  </si>
  <si>
    <t>Allison Alexander</t>
  </si>
  <si>
    <t>Backend Architect</t>
  </si>
  <si>
    <t>ACC-224512</t>
  </si>
  <si>
    <t>EMP-1093</t>
  </si>
  <si>
    <t>Leonardo Russell</t>
  </si>
  <si>
    <t>Junior Data Engineer</t>
  </si>
  <si>
    <t>ACC-881049</t>
  </si>
  <si>
    <t>EMP-1094</t>
  </si>
  <si>
    <t>Samantha Griffin</t>
  </si>
  <si>
    <t>HR Specialist II</t>
  </si>
  <si>
    <t>EMP-1095</t>
  </si>
  <si>
    <t>Cooper Diaz</t>
  </si>
  <si>
    <t>Senior Accountant II</t>
  </si>
  <si>
    <t>EMP-1096</t>
  </si>
  <si>
    <t>Maria Hayes</t>
  </si>
  <si>
    <t>Content Writer</t>
  </si>
  <si>
    <t>EMP-1097</t>
  </si>
  <si>
    <t>Mateo Myers</t>
  </si>
  <si>
    <t>Account Executive II</t>
  </si>
  <si>
    <t>ACC-662143</t>
  </si>
  <si>
    <t>EMP-1098</t>
  </si>
  <si>
    <t>Sadie Ford</t>
  </si>
  <si>
    <t>Inventory Analyst</t>
  </si>
  <si>
    <t>ACC-119104</t>
  </si>
  <si>
    <t>EMP-1099</t>
  </si>
  <si>
    <t>Miles Hamilton</t>
  </si>
  <si>
    <t>Security Specialist</t>
  </si>
  <si>
    <t>EMP-1100</t>
  </si>
  <si>
    <t>Alice Graham</t>
  </si>
  <si>
    <t>BI Analyst</t>
  </si>
  <si>
    <t>ACC-221239</t>
  </si>
  <si>
    <t>Employee_Name</t>
  </si>
  <si>
    <r>
      <t>EXECUTIVE PAYROLL DISBURSEMENT &amp; SLIP CALCULATOR</t>
    </r>
    <r>
      <rPr>
        <sz val="11"/>
        <color theme="0"/>
        <rFont val="Aptos Narrow"/>
        <family val="2"/>
        <scheme val="minor"/>
      </rPr>
      <t xml:space="preserve"> </t>
    </r>
  </si>
  <si>
    <t>Base_Salary</t>
  </si>
  <si>
    <t>Days_Present</t>
  </si>
  <si>
    <t>Overtime_Pay</t>
  </si>
  <si>
    <t>Gross_Earnings</t>
  </si>
  <si>
    <t>Tax_Deductions</t>
  </si>
  <si>
    <t>Net_Disbursement</t>
  </si>
  <si>
    <t>ENTERPRISE ATTENDANCE &amp; PAYROLL EXECUTIVE COMMAND CENTER</t>
  </si>
  <si>
    <t>Real-Time Operational Intelligence &amp; Multi-Period Controls</t>
  </si>
  <si>
    <t>Select Month</t>
  </si>
  <si>
    <t>January</t>
  </si>
  <si>
    <t>Feburary</t>
  </si>
  <si>
    <t>March</t>
  </si>
  <si>
    <t>April</t>
  </si>
  <si>
    <t>May</t>
  </si>
  <si>
    <t>June</t>
  </si>
  <si>
    <t>July</t>
  </si>
  <si>
    <t>August</t>
  </si>
  <si>
    <t>September</t>
  </si>
  <si>
    <t>October</t>
  </si>
  <si>
    <t>November</t>
  </si>
  <si>
    <t>December</t>
  </si>
  <si>
    <t>Select Year</t>
  </si>
  <si>
    <t>MONTHLY DYNAMIC MATRIX ATTENDANCE GRID</t>
  </si>
  <si>
    <t>Present_Count</t>
  </si>
  <si>
    <t>✔</t>
  </si>
  <si>
    <t xml:space="preserve"> ❌</t>
  </si>
  <si>
    <t xml:space="preserve"> L</t>
  </si>
  <si>
    <t>Leave Half Day</t>
  </si>
  <si>
    <t>Absent</t>
  </si>
  <si>
    <t>Present</t>
  </si>
  <si>
    <t>Absent_Count</t>
  </si>
  <si>
    <t>Leave_Count</t>
  </si>
  <si>
    <t>TOTAL ACTIVE STAFF</t>
  </si>
  <si>
    <t>AVG ATTENDANCE RATE</t>
  </si>
  <si>
    <t>TOTAL OVERTIME DAYS</t>
  </si>
  <si>
    <t>MONTHLY PAYROLL OUTFLOW</t>
  </si>
  <si>
    <t>SUBJECT: Enterprise Architecture Note — Interactive Simulation &amp; Production Deployment Standards</t>
  </si>
  <si>
    <r>
      <t xml:space="preserve">As part of our high-ticket enterprise solution delivery, this workbook has been engineered with an </t>
    </r>
    <r>
      <rPr>
        <b/>
        <sz val="11"/>
        <color theme="1"/>
        <rFont val="Aptos Narrow"/>
        <family val="2"/>
        <scheme val="minor"/>
      </rPr>
      <t>interactive simulation layer</t>
    </r>
    <r>
      <rPr>
        <sz val="11"/>
        <color theme="1"/>
        <rFont val="Aptos Narrow"/>
        <family val="2"/>
        <scheme val="minor"/>
      </rPr>
      <t xml:space="preserve"> designed to showcase real-time cross-sheet data mapping and multi-period reporting capabilities.</t>
    </r>
  </si>
  <si>
    <t>To ensure full transparency during your evaluation of this prototype, the operational behavior of the workbook across its four integrated sheets is detailed below:</t>
  </si>
  <si>
    <t>1. System-Wide Recalculation Behavior</t>
  </si>
  <si>
    <t>Due to the active simulation engine implemented in this demonstration model, adjusting layout dimensions (such as row/column widths) or toggling period parameters will trigger standard Excel worksheet recalculations. This interactivity is intentionally maintained to provide a live, software-like experience when testing the dashboard dropdowns and period selectors.</t>
  </si>
  <si>
    <t>2. Sheet-by-Sheet Impact Breakdown</t>
  </si>
  <si>
    <r>
      <t xml:space="preserve">Sheet 1: </t>
    </r>
    <r>
      <rPr>
        <b/>
        <sz val="10"/>
        <color theme="1"/>
        <rFont val="Arial Unicode MS"/>
      </rPr>
      <t>Master_Roster</t>
    </r>
    <r>
      <rPr>
        <b/>
        <sz val="11"/>
        <color theme="1"/>
        <rFont val="Aptos Narrow"/>
        <family val="2"/>
        <scheme val="minor"/>
      </rPr>
      <t xml:space="preserve"> (Core Database)</t>
    </r>
  </si>
  <si>
    <r>
      <t>Behavior:</t>
    </r>
    <r>
      <rPr>
        <sz val="11"/>
        <color theme="1"/>
        <rFont val="Aptos Narrow"/>
        <family val="2"/>
        <scheme val="minor"/>
      </rPr>
      <t xml:space="preserve"> </t>
    </r>
    <r>
      <rPr>
        <b/>
        <sz val="11"/>
        <color theme="1"/>
        <rFont val="Aptos Narrow"/>
        <family val="2"/>
        <scheme val="minor"/>
      </rPr>
      <t>100% Static.</t>
    </r>
    <r>
      <rPr>
        <sz val="11"/>
        <color theme="1"/>
        <rFont val="Aptos Narrow"/>
        <family val="2"/>
        <scheme val="minor"/>
      </rPr>
      <t xml:space="preserve"> As the primary centralized database containing master employee identification, corporate hierarchies, and baseline compensation tiers, this sheet remains completely unaffected by layout adjustments or simulation toggles, ensuring absolute data integrity.</t>
    </r>
  </si>
  <si>
    <r>
      <t xml:space="preserve">Sheet 2: </t>
    </r>
    <r>
      <rPr>
        <b/>
        <sz val="10"/>
        <color theme="1"/>
        <rFont val="Arial Unicode MS"/>
      </rPr>
      <t>Matrix_Attendance_Tracker</t>
    </r>
    <r>
      <rPr>
        <b/>
        <sz val="11"/>
        <color theme="1"/>
        <rFont val="Aptos Narrow"/>
        <family val="2"/>
        <scheme val="minor"/>
      </rPr>
      <t xml:space="preserve"> (Operational Grid)</t>
    </r>
  </si>
  <si>
    <r>
      <t>Behavior:</t>
    </r>
    <r>
      <rPr>
        <sz val="11"/>
        <color theme="1"/>
        <rFont val="Aptos Narrow"/>
        <family val="2"/>
        <scheme val="minor"/>
      </rPr>
      <t xml:space="preserve"> </t>
    </r>
    <r>
      <rPr>
        <b/>
        <sz val="11"/>
        <color theme="1"/>
        <rFont val="Aptos Narrow"/>
        <family val="2"/>
        <scheme val="minor"/>
      </rPr>
      <t>Dynamic Simulation Layer.</t>
    </r>
    <r>
      <rPr>
        <sz val="11"/>
        <color theme="1"/>
        <rFont val="Aptos Narrow"/>
        <family val="2"/>
        <scheme val="minor"/>
      </rPr>
      <t xml:space="preserve"> Aside from unique Employee IDs and full names, the operational attendance tracking columns utilize randomized distribution logic to simulate varying monthly attendance patterns and allow real-time filter testing.</t>
    </r>
  </si>
  <si>
    <r>
      <t xml:space="preserve">Sheet 3: </t>
    </r>
    <r>
      <rPr>
        <b/>
        <sz val="10"/>
        <color theme="1"/>
        <rFont val="Arial Unicode MS"/>
      </rPr>
      <t>Payroll_Calculator</t>
    </r>
    <r>
      <rPr>
        <b/>
        <sz val="11"/>
        <color theme="1"/>
        <rFont val="Aptos Narrow"/>
        <family val="2"/>
        <scheme val="minor"/>
      </rPr>
      <t xml:space="preserve"> (Automated Engine)</t>
    </r>
  </si>
  <si>
    <r>
      <t xml:space="preserve">Sheet 4: </t>
    </r>
    <r>
      <rPr>
        <b/>
        <sz val="10"/>
        <color theme="1"/>
        <rFont val="Arial Unicode MS"/>
      </rPr>
      <t>Control_Dashboard</t>
    </r>
    <r>
      <rPr>
        <b/>
        <sz val="11"/>
        <color theme="1"/>
        <rFont val="Aptos Narrow"/>
        <family val="2"/>
        <scheme val="minor"/>
      </rPr>
      <t xml:space="preserve"> (Executive Command Center)</t>
    </r>
  </si>
  <si>
    <r>
      <t>Behavior:</t>
    </r>
    <r>
      <rPr>
        <sz val="11"/>
        <color theme="1"/>
        <rFont val="Aptos Narrow"/>
        <family val="2"/>
        <scheme val="minor"/>
      </rPr>
      <t xml:space="preserve"> </t>
    </r>
    <r>
      <rPr>
        <b/>
        <sz val="11"/>
        <color theme="1"/>
        <rFont val="Aptos Narrow"/>
        <family val="2"/>
        <scheme val="minor"/>
      </rPr>
      <t>Aggregated Metric Display.</t>
    </r>
    <r>
      <rPr>
        <sz val="11"/>
        <color theme="1"/>
        <rFont val="Aptos Narrow"/>
        <family val="2"/>
        <scheme val="minor"/>
      </rPr>
      <t xml:space="preserve"> The three primary financial and operational KPI cards (Average Attendance Rate, Total Overtime, and Total Monthly Payroll Outflow) dynamically reflect changes from the underlying calculation engines.</t>
    </r>
  </si>
  <si>
    <t>3. Purpose of Dynamic Simulation &amp; Dropdown Interactivity</t>
  </si>
  <si>
    <t>The volatile random functions have been deliberately integrated into this prototype to enable live interactivity. When you select different months or years from the dashboard dropdown selectors, the system instantly recalculates downstream metrics, proving the seamless cross-sheet integration and responsiveness of the model. This guarantees that your team can evaluate filtering mechanics effortlessly during the review phase.</t>
  </si>
  <si>
    <t>4. Production Deployment &amp; Client Guarantee</t>
  </si>
  <si>
    <t>The volatile simulation functions utilized in this demonstration prototype are strictly exclusive to portfolio evaluation and interactive feature testing.</t>
  </si>
  <si>
    <r>
      <t xml:space="preserve">For final client deployment, this prototype layer is completely removed and replaced with your verified historical records. Attendance records will be populated directly from verified HR check-ins or manual attendance inputs, resulting in a </t>
    </r>
    <r>
      <rPr>
        <b/>
        <sz val="11"/>
        <color theme="1"/>
        <rFont val="Aptos Narrow"/>
        <family val="2"/>
        <scheme val="minor"/>
      </rPr>
      <t>100% static, deterministic, and audit-ready enterprise system</t>
    </r>
    <r>
      <rPr>
        <sz val="11"/>
        <color theme="1"/>
        <rFont val="Aptos Narrow"/>
        <family val="2"/>
        <scheme val="minor"/>
      </rPr>
      <t xml:space="preserve"> tailored precisely to your operational standards.</t>
    </r>
  </si>
  <si>
    <r>
      <t>Behavior:</t>
    </r>
    <r>
      <rPr>
        <sz val="11"/>
        <color theme="1"/>
        <rFont val="Aptos Narrow"/>
        <family val="2"/>
        <scheme val="minor"/>
      </rPr>
      <t xml:space="preserve"> </t>
    </r>
    <r>
      <rPr>
        <b/>
        <sz val="11"/>
        <color theme="1"/>
        <rFont val="Aptos Narrow"/>
        <family val="2"/>
        <scheme val="minor"/>
      </rPr>
      <t>Downstream Calculation Layer.</t>
    </r>
    <r>
      <rPr>
        <sz val="11"/>
        <color theme="1"/>
        <rFont val="Aptos Narrow"/>
        <family val="2"/>
        <scheme val="minor"/>
      </rPr>
      <t xml:space="preserve"> The final five financial columns (Days Present, Overtime Pay, Gross Earnings, Tax Withholdings &amp; Net Disbursements) dynamically respond to changes originating from the attendance matrix, maintaining strict mathematical parity with active workforce inputs.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</si>
</sst>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1004]#,##0.00"/>
    <numFmt numFmtId="170" formatCode="[$$-2809]#,##0.00"/>
  </numFmts>
  <fonts count="16">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0"/>
      <color theme="0"/>
      <name val="Arial Unicode MS"/>
    </font>
    <font>
      <i/>
      <sz val="11"/>
      <color theme="1"/>
      <name val="Aptos Narrow"/>
      <family val="2"/>
      <scheme val="minor"/>
    </font>
    <font>
      <i/>
      <sz val="11"/>
      <color theme="0" tint="-0.499984740745262"/>
      <name val="Aptos Narrow"/>
      <family val="2"/>
      <scheme val="minor"/>
    </font>
    <font>
      <b/>
      <sz val="11"/>
      <name val="Aptos Narrow"/>
      <family val="2"/>
      <scheme val="minor"/>
    </font>
    <font>
      <sz val="11"/>
      <color theme="2"/>
      <name val="Aptos Narrow"/>
      <family val="2"/>
      <scheme val="minor"/>
    </font>
    <font>
      <b/>
      <sz val="11"/>
      <color theme="2" tint="-9.9978637043366805E-2"/>
      <name val="Aptos Narrow"/>
      <family val="2"/>
      <scheme val="minor"/>
    </font>
    <font>
      <b/>
      <sz val="11"/>
      <color theme="0" tint="-0.249977111117893"/>
      <name val="Aptos Narrow"/>
      <family val="2"/>
      <scheme val="minor"/>
    </font>
    <font>
      <sz val="11"/>
      <name val="Aptos Narrow"/>
      <family val="2"/>
      <scheme val="minor"/>
    </font>
    <font>
      <b/>
      <sz val="10"/>
      <color theme="1"/>
      <name val="Arial Unicode MS"/>
    </font>
    <font>
      <b/>
      <sz val="14"/>
      <color theme="1"/>
      <name val="Aptos Narrow"/>
      <family val="2"/>
      <scheme val="minor"/>
    </font>
    <font>
      <b/>
      <sz val="12"/>
      <color theme="1"/>
      <name val="Aptos Narrow"/>
      <family val="2"/>
      <scheme val="minor"/>
    </font>
  </fonts>
  <fills count="16">
    <fill>
      <patternFill patternType="none"/>
    </fill>
    <fill>
      <patternFill patternType="gray125"/>
    </fill>
    <fill>
      <patternFill patternType="solid">
        <fgColor rgb="FF1E293B"/>
        <bgColor indexed="64"/>
      </patternFill>
    </fill>
    <fill>
      <patternFill patternType="solid">
        <fgColor rgb="FFF1F5F9"/>
        <bgColor indexed="64"/>
      </patternFill>
    </fill>
    <fill>
      <patternFill patternType="solid">
        <fgColor theme="0" tint="-0.499984740745262"/>
        <bgColor indexed="64"/>
      </patternFill>
    </fill>
    <fill>
      <patternFill patternType="solid">
        <fgColor theme="1"/>
        <bgColor indexed="64"/>
      </patternFill>
    </fill>
    <fill>
      <patternFill patternType="solid">
        <fgColor theme="0"/>
        <bgColor indexed="64"/>
      </patternFill>
    </fill>
    <fill>
      <patternFill patternType="solid">
        <fgColor theme="3" tint="0.249977111117893"/>
        <bgColor indexed="64"/>
      </patternFill>
    </fill>
    <fill>
      <patternFill patternType="solid">
        <fgColor theme="9" tint="0.39997558519241921"/>
        <bgColor indexed="64"/>
      </patternFill>
    </fill>
    <fill>
      <patternFill patternType="solid">
        <fgColor rgb="FFFF0000"/>
        <bgColor indexed="64"/>
      </patternFill>
    </fill>
    <fill>
      <patternFill patternType="solid">
        <fgColor rgb="FFB4530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5"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38">
    <xf numFmtId="0" fontId="0" fillId="0" borderId="0" xfId="0"/>
    <xf numFmtId="9" fontId="0" fillId="0" borderId="0" xfId="0" applyNumberFormat="1"/>
    <xf numFmtId="0" fontId="5" fillId="2" borderId="0" xfId="0" applyFont="1" applyFill="1" applyAlignment="1">
      <alignment horizontal="center" vertical="center"/>
    </xf>
    <xf numFmtId="0" fontId="0" fillId="0" borderId="0" xfId="0" applyAlignment="1">
      <alignment horizontal="center" vertical="center"/>
    </xf>
    <xf numFmtId="0" fontId="3" fillId="2" borderId="0" xfId="0" applyFont="1" applyFill="1" applyAlignment="1">
      <alignment horizontal="center" vertical="center"/>
    </xf>
    <xf numFmtId="0" fontId="7" fillId="3" borderId="0" xfId="0" applyFont="1" applyFill="1" applyAlignment="1">
      <alignment horizontal="center" vertical="center"/>
    </xf>
    <xf numFmtId="0" fontId="2" fillId="4" borderId="0" xfId="0" applyFont="1" applyFill="1" applyAlignment="1">
      <alignment horizontal="center" vertical="center"/>
    </xf>
    <xf numFmtId="10" fontId="0" fillId="0" borderId="0" xfId="0" applyNumberFormat="1" applyAlignment="1">
      <alignment horizontal="center" vertical="center"/>
    </xf>
    <xf numFmtId="0" fontId="0" fillId="2" borderId="0" xfId="0" applyFill="1"/>
    <xf numFmtId="0" fontId="9" fillId="2" borderId="0" xfId="0" applyFont="1" applyFill="1"/>
    <xf numFmtId="0" fontId="10" fillId="2" borderId="0" xfId="0" applyFont="1" applyFill="1"/>
    <xf numFmtId="0" fontId="1" fillId="5" borderId="0" xfId="0" applyFont="1" applyFill="1" applyAlignment="1">
      <alignment horizontal="center" vertical="center"/>
    </xf>
    <xf numFmtId="0" fontId="0" fillId="6" borderId="0" xfId="0" applyFill="1"/>
    <xf numFmtId="0" fontId="11" fillId="7" borderId="0" xfId="0" applyFont="1" applyFill="1"/>
    <xf numFmtId="0" fontId="8" fillId="8" borderId="0" xfId="0" applyFont="1" applyFill="1"/>
    <xf numFmtId="0" fontId="12" fillId="9" borderId="0" xfId="0" applyFont="1" applyFill="1"/>
    <xf numFmtId="0" fontId="0" fillId="10" borderId="0" xfId="0" applyFill="1"/>
    <xf numFmtId="0" fontId="2" fillId="11" borderId="0" xfId="0" applyFont="1" applyFill="1" applyAlignment="1">
      <alignment horizontal="center" vertical="center"/>
    </xf>
    <xf numFmtId="0" fontId="0" fillId="12" borderId="0" xfId="0" applyFill="1" applyAlignment="1">
      <alignment horizontal="center" vertical="center"/>
    </xf>
    <xf numFmtId="0" fontId="0" fillId="13" borderId="0" xfId="0" applyFill="1" applyAlignment="1">
      <alignment horizontal="center" vertical="center"/>
    </xf>
    <xf numFmtId="0" fontId="13" fillId="14" borderId="0" xfId="0" applyFont="1" applyFill="1" applyAlignment="1">
      <alignment horizontal="center" vertical="center" wrapText="1"/>
    </xf>
    <xf numFmtId="0" fontId="14" fillId="15" borderId="0" xfId="0" applyFont="1" applyFill="1"/>
    <xf numFmtId="169" fontId="14" fillId="15" borderId="0" xfId="0" applyNumberFormat="1" applyFont="1" applyFill="1"/>
    <xf numFmtId="169" fontId="0" fillId="0" borderId="0" xfId="0" applyNumberFormat="1"/>
    <xf numFmtId="170" fontId="14" fillId="15" borderId="0" xfId="0" applyNumberFormat="1" applyFont="1" applyFill="1"/>
    <xf numFmtId="170" fontId="0" fillId="0" borderId="0" xfId="0" applyNumberFormat="1"/>
    <xf numFmtId="0" fontId="0" fillId="0" borderId="1" xfId="0" applyBorder="1"/>
    <xf numFmtId="0" fontId="2" fillId="0" borderId="0" xfId="0" applyFont="1"/>
    <xf numFmtId="0" fontId="15"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0" fontId="6" fillId="0" borderId="0" xfId="0" applyFont="1" applyAlignment="1">
      <alignment horizontal="left" vertical="center" indent="2"/>
    </xf>
    <xf numFmtId="0" fontId="0" fillId="0" borderId="1" xfId="0" applyBorder="1" applyAlignment="1">
      <alignment vertical="center" wrapText="1"/>
    </xf>
    <xf numFmtId="0" fontId="0" fillId="0" borderId="0" xfId="0" applyBorder="1" applyAlignment="1">
      <alignment vertical="center" wrapText="1"/>
    </xf>
    <xf numFmtId="0" fontId="0" fillId="0" borderId="0" xfId="0" applyAlignment="1">
      <alignment horizontal="left" vertical="top"/>
    </xf>
    <xf numFmtId="0" fontId="15" fillId="0" borderId="0" xfId="0" applyFont="1" applyAlignment="1">
      <alignment vertical="top"/>
    </xf>
    <xf numFmtId="0" fontId="3" fillId="0" borderId="0" xfId="0" applyFont="1"/>
  </cellXfs>
  <cellStyles count="1">
    <cellStyle name="Normal" xfId="0" builtinId="0"/>
  </cellStyles>
  <dxfs count="0"/>
  <tableStyles count="0" defaultTableStyle="TableStyleMedium2" defaultPivotStyle="PivotStyleLight16"/>
  <colors>
    <mruColors>
      <color rgb="FFB45309"/>
      <color rgb="FF1E293B"/>
      <color rgb="FF215C98"/>
      <color rgb="FFECFDF5"/>
      <color rgb="FFF8FAFC"/>
      <color rgb="FF0F172A"/>
      <color rgb="FF059669"/>
      <color rgb="FF475569"/>
      <color rgb="FF334155"/>
      <color rgb="FFF1F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C7F8-59E9-4980-8F8A-80B673B6680F}">
  <dimension ref="A1:J101"/>
  <sheetViews>
    <sheetView zoomScale="70" workbookViewId="0">
      <selection activeCell="J13" sqref="J13"/>
    </sheetView>
  </sheetViews>
  <sheetFormatPr defaultRowHeight="14.4"/>
  <cols>
    <col min="1" max="1" width="15" customWidth="1"/>
    <col min="2" max="2" width="18.21875" bestFit="1" customWidth="1"/>
    <col min="3" max="3" width="13.88671875" customWidth="1"/>
    <col min="4" max="4" width="27.77734375" bestFit="1" customWidth="1"/>
    <col min="5" max="5" width="20.5546875" customWidth="1"/>
    <col min="6" max="6" width="29.109375" customWidth="1"/>
    <col min="7" max="7" width="19.5546875" bestFit="1" customWidth="1"/>
    <col min="8" max="8" width="13.6640625" bestFit="1" customWidth="1"/>
    <col min="9" max="9" width="14.21875" bestFit="1" customWidth="1"/>
    <col min="10" max="10" width="19.5546875" bestFit="1" customWidth="1"/>
  </cols>
  <sheetData>
    <row r="1" spans="1:10" ht="18">
      <c r="A1" s="21" t="s">
        <v>0</v>
      </c>
      <c r="B1" s="21" t="s">
        <v>1</v>
      </c>
      <c r="C1" s="21" t="s">
        <v>2</v>
      </c>
      <c r="D1" s="21" t="s">
        <v>3</v>
      </c>
      <c r="E1" s="21" t="s">
        <v>4</v>
      </c>
      <c r="F1" s="21" t="s">
        <v>5</v>
      </c>
      <c r="G1" s="21" t="s">
        <v>6</v>
      </c>
      <c r="H1" s="21" t="s">
        <v>7</v>
      </c>
      <c r="I1" s="21" t="s">
        <v>8</v>
      </c>
      <c r="J1" s="21" t="s">
        <v>9</v>
      </c>
    </row>
    <row r="2" spans="1:10">
      <c r="A2" t="s">
        <v>10</v>
      </c>
      <c r="B2" t="s">
        <v>11</v>
      </c>
      <c r="C2" t="s">
        <v>12</v>
      </c>
      <c r="D2" t="s">
        <v>13</v>
      </c>
      <c r="E2" t="s">
        <v>14</v>
      </c>
      <c r="F2">
        <v>8500</v>
      </c>
      <c r="G2">
        <v>0</v>
      </c>
      <c r="H2" s="1">
        <v>0.22</v>
      </c>
      <c r="I2" t="s">
        <v>15</v>
      </c>
      <c r="J2" t="s">
        <v>16</v>
      </c>
    </row>
    <row r="3" spans="1:10">
      <c r="A3" t="s">
        <v>17</v>
      </c>
      <c r="B3" t="s">
        <v>18</v>
      </c>
      <c r="C3" t="s">
        <v>19</v>
      </c>
      <c r="D3" t="s">
        <v>20</v>
      </c>
      <c r="E3" t="s">
        <v>14</v>
      </c>
      <c r="F3">
        <v>6800</v>
      </c>
      <c r="G3">
        <v>0</v>
      </c>
      <c r="H3" s="1">
        <v>0.18</v>
      </c>
      <c r="I3" t="s">
        <v>21</v>
      </c>
      <c r="J3" t="s">
        <v>22</v>
      </c>
    </row>
    <row r="4" spans="1:10">
      <c r="A4" t="s">
        <v>23</v>
      </c>
      <c r="B4" t="s">
        <v>24</v>
      </c>
      <c r="C4" t="s">
        <v>25</v>
      </c>
      <c r="D4" t="s">
        <v>26</v>
      </c>
      <c r="E4" t="s">
        <v>14</v>
      </c>
      <c r="F4">
        <v>5200</v>
      </c>
      <c r="G4">
        <v>0</v>
      </c>
      <c r="H4" s="1">
        <v>0.15</v>
      </c>
      <c r="I4" t="s">
        <v>27</v>
      </c>
      <c r="J4" t="s">
        <v>28</v>
      </c>
    </row>
    <row r="5" spans="1:10">
      <c r="A5" t="s">
        <v>29</v>
      </c>
      <c r="B5" t="s">
        <v>30</v>
      </c>
      <c r="C5" t="s">
        <v>31</v>
      </c>
      <c r="D5" t="s">
        <v>32</v>
      </c>
      <c r="E5" t="s">
        <v>14</v>
      </c>
      <c r="F5">
        <v>9100</v>
      </c>
      <c r="G5">
        <v>0</v>
      </c>
      <c r="H5" s="1">
        <v>0.25</v>
      </c>
      <c r="I5" t="s">
        <v>33</v>
      </c>
      <c r="J5" t="s">
        <v>34</v>
      </c>
    </row>
    <row r="6" spans="1:10">
      <c r="A6" t="s">
        <v>35</v>
      </c>
      <c r="B6" t="s">
        <v>36</v>
      </c>
      <c r="C6" t="s">
        <v>37</v>
      </c>
      <c r="D6" t="s">
        <v>38</v>
      </c>
      <c r="E6" t="s">
        <v>14</v>
      </c>
      <c r="F6">
        <v>6100</v>
      </c>
      <c r="G6">
        <v>0</v>
      </c>
      <c r="H6" s="1">
        <v>0.18</v>
      </c>
      <c r="I6" t="s">
        <v>15</v>
      </c>
      <c r="J6" t="s">
        <v>39</v>
      </c>
    </row>
    <row r="7" spans="1:10">
      <c r="A7" t="s">
        <v>40</v>
      </c>
      <c r="B7" t="s">
        <v>41</v>
      </c>
      <c r="C7" t="s">
        <v>42</v>
      </c>
      <c r="D7" t="s">
        <v>43</v>
      </c>
      <c r="E7" t="s">
        <v>14</v>
      </c>
      <c r="F7">
        <v>7500</v>
      </c>
      <c r="G7">
        <v>0</v>
      </c>
      <c r="H7" s="1">
        <v>0.2</v>
      </c>
      <c r="I7" t="s">
        <v>21</v>
      </c>
      <c r="J7" t="s">
        <v>44</v>
      </c>
    </row>
    <row r="8" spans="1:10">
      <c r="A8" t="s">
        <v>45</v>
      </c>
      <c r="B8" t="s">
        <v>46</v>
      </c>
      <c r="C8" t="s">
        <v>47</v>
      </c>
      <c r="D8" t="s">
        <v>48</v>
      </c>
      <c r="E8" t="s">
        <v>14</v>
      </c>
      <c r="F8">
        <v>7800</v>
      </c>
      <c r="G8">
        <v>0</v>
      </c>
      <c r="H8" s="1">
        <v>0.2</v>
      </c>
      <c r="I8" t="s">
        <v>27</v>
      </c>
      <c r="J8" t="s">
        <v>49</v>
      </c>
    </row>
    <row r="9" spans="1:10">
      <c r="A9" t="s">
        <v>50</v>
      </c>
      <c r="B9" t="s">
        <v>51</v>
      </c>
      <c r="C9" t="s">
        <v>12</v>
      </c>
      <c r="D9" t="s">
        <v>52</v>
      </c>
      <c r="E9" t="s">
        <v>53</v>
      </c>
      <c r="F9">
        <v>0</v>
      </c>
      <c r="G9">
        <v>45</v>
      </c>
      <c r="H9" s="1">
        <v>0.15</v>
      </c>
      <c r="I9" t="s">
        <v>33</v>
      </c>
      <c r="J9" t="s">
        <v>54</v>
      </c>
    </row>
    <row r="10" spans="1:10">
      <c r="A10" t="s">
        <v>55</v>
      </c>
      <c r="B10" t="s">
        <v>56</v>
      </c>
      <c r="C10" t="s">
        <v>19</v>
      </c>
      <c r="D10" t="s">
        <v>57</v>
      </c>
      <c r="E10" t="s">
        <v>14</v>
      </c>
      <c r="F10">
        <v>8200</v>
      </c>
      <c r="G10">
        <v>0</v>
      </c>
      <c r="H10" s="1">
        <v>0.22</v>
      </c>
      <c r="I10" t="s">
        <v>15</v>
      </c>
      <c r="J10" t="s">
        <v>58</v>
      </c>
    </row>
    <row r="11" spans="1:10">
      <c r="A11" t="s">
        <v>59</v>
      </c>
      <c r="B11" t="s">
        <v>60</v>
      </c>
      <c r="C11" t="s">
        <v>25</v>
      </c>
      <c r="D11" t="s">
        <v>61</v>
      </c>
      <c r="E11" t="s">
        <v>14</v>
      </c>
      <c r="F11">
        <v>5900</v>
      </c>
      <c r="G11">
        <v>0</v>
      </c>
      <c r="H11" s="1">
        <v>0.15</v>
      </c>
      <c r="I11" t="s">
        <v>21</v>
      </c>
      <c r="J11" t="s">
        <v>62</v>
      </c>
    </row>
    <row r="12" spans="1:10">
      <c r="A12" t="s">
        <v>63</v>
      </c>
      <c r="B12" t="s">
        <v>64</v>
      </c>
      <c r="C12" t="s">
        <v>31</v>
      </c>
      <c r="D12" t="s">
        <v>65</v>
      </c>
      <c r="E12" t="s">
        <v>14</v>
      </c>
      <c r="F12">
        <v>7200</v>
      </c>
      <c r="G12">
        <v>0</v>
      </c>
      <c r="H12" s="1">
        <v>0.2</v>
      </c>
      <c r="I12" t="s">
        <v>27</v>
      </c>
      <c r="J12" t="s">
        <v>66</v>
      </c>
    </row>
    <row r="13" spans="1:10">
      <c r="A13" t="s">
        <v>67</v>
      </c>
      <c r="B13" t="s">
        <v>68</v>
      </c>
      <c r="C13" t="s">
        <v>37</v>
      </c>
      <c r="D13" t="s">
        <v>69</v>
      </c>
      <c r="E13" t="s">
        <v>53</v>
      </c>
      <c r="F13">
        <v>0</v>
      </c>
      <c r="G13">
        <v>35</v>
      </c>
      <c r="H13" s="1">
        <v>0.12</v>
      </c>
      <c r="I13" t="s">
        <v>33</v>
      </c>
      <c r="J13" t="s">
        <v>70</v>
      </c>
    </row>
    <row r="14" spans="1:10">
      <c r="A14" t="s">
        <v>71</v>
      </c>
      <c r="B14" t="s">
        <v>72</v>
      </c>
      <c r="C14" t="s">
        <v>42</v>
      </c>
      <c r="D14" t="s">
        <v>73</v>
      </c>
      <c r="E14" t="s">
        <v>14</v>
      </c>
      <c r="F14">
        <v>4800</v>
      </c>
      <c r="G14">
        <v>0</v>
      </c>
      <c r="H14" s="1">
        <v>0.12</v>
      </c>
      <c r="I14" t="s">
        <v>15</v>
      </c>
      <c r="J14" t="s">
        <v>74</v>
      </c>
    </row>
    <row r="15" spans="1:10">
      <c r="A15" t="s">
        <v>75</v>
      </c>
      <c r="B15" t="s">
        <v>76</v>
      </c>
      <c r="C15" t="s">
        <v>47</v>
      </c>
      <c r="D15" t="s">
        <v>77</v>
      </c>
      <c r="E15" t="s">
        <v>14</v>
      </c>
      <c r="F15">
        <v>5100</v>
      </c>
      <c r="G15">
        <v>0</v>
      </c>
      <c r="H15" s="1">
        <v>0.15</v>
      </c>
      <c r="I15" t="s">
        <v>21</v>
      </c>
      <c r="J15" t="s">
        <v>78</v>
      </c>
    </row>
    <row r="16" spans="1:10">
      <c r="A16" t="s">
        <v>79</v>
      </c>
      <c r="B16" t="s">
        <v>80</v>
      </c>
      <c r="C16" t="s">
        <v>12</v>
      </c>
      <c r="D16" t="s">
        <v>81</v>
      </c>
      <c r="E16" t="s">
        <v>14</v>
      </c>
      <c r="F16">
        <v>8900</v>
      </c>
      <c r="G16">
        <v>0</v>
      </c>
      <c r="H16" s="1">
        <v>0.25</v>
      </c>
      <c r="I16" t="s">
        <v>27</v>
      </c>
      <c r="J16" t="s">
        <v>82</v>
      </c>
    </row>
    <row r="17" spans="1:10">
      <c r="A17" t="s">
        <v>83</v>
      </c>
      <c r="B17" t="s">
        <v>84</v>
      </c>
      <c r="C17" t="s">
        <v>19</v>
      </c>
      <c r="D17" t="s">
        <v>85</v>
      </c>
      <c r="E17" t="s">
        <v>14</v>
      </c>
      <c r="F17">
        <v>7100</v>
      </c>
      <c r="G17">
        <v>0</v>
      </c>
      <c r="H17" s="1">
        <v>0.18</v>
      </c>
      <c r="I17" t="s">
        <v>33</v>
      </c>
      <c r="J17" t="s">
        <v>86</v>
      </c>
    </row>
    <row r="18" spans="1:10">
      <c r="A18" t="s">
        <v>87</v>
      </c>
      <c r="B18" t="s">
        <v>88</v>
      </c>
      <c r="C18" t="s">
        <v>25</v>
      </c>
      <c r="D18" t="s">
        <v>89</v>
      </c>
      <c r="E18" t="s">
        <v>14</v>
      </c>
      <c r="F18">
        <v>5300</v>
      </c>
      <c r="G18">
        <v>0</v>
      </c>
      <c r="H18" s="1">
        <v>0.15</v>
      </c>
      <c r="I18" t="s">
        <v>15</v>
      </c>
      <c r="J18" t="s">
        <v>90</v>
      </c>
    </row>
    <row r="19" spans="1:10">
      <c r="A19" t="s">
        <v>91</v>
      </c>
      <c r="B19" t="s">
        <v>92</v>
      </c>
      <c r="C19" t="s">
        <v>31</v>
      </c>
      <c r="D19" t="s">
        <v>93</v>
      </c>
      <c r="E19" t="s">
        <v>14</v>
      </c>
      <c r="F19">
        <v>7600</v>
      </c>
      <c r="G19">
        <v>0</v>
      </c>
      <c r="H19" s="1">
        <v>0.2</v>
      </c>
      <c r="I19" t="s">
        <v>21</v>
      </c>
      <c r="J19" t="s">
        <v>94</v>
      </c>
    </row>
    <row r="20" spans="1:10">
      <c r="A20" t="s">
        <v>95</v>
      </c>
      <c r="B20" t="s">
        <v>96</v>
      </c>
      <c r="C20" t="s">
        <v>37</v>
      </c>
      <c r="D20" t="s">
        <v>97</v>
      </c>
      <c r="E20" t="s">
        <v>53</v>
      </c>
      <c r="F20">
        <v>0</v>
      </c>
      <c r="G20">
        <v>40</v>
      </c>
      <c r="H20" s="1">
        <v>0.15</v>
      </c>
      <c r="I20" t="s">
        <v>27</v>
      </c>
      <c r="J20" t="s">
        <v>98</v>
      </c>
    </row>
    <row r="21" spans="1:10">
      <c r="A21" t="s">
        <v>99</v>
      </c>
      <c r="B21" t="s">
        <v>100</v>
      </c>
      <c r="C21" t="s">
        <v>42</v>
      </c>
      <c r="D21" t="s">
        <v>101</v>
      </c>
      <c r="E21" t="s">
        <v>14</v>
      </c>
      <c r="F21">
        <v>9500</v>
      </c>
      <c r="G21">
        <v>0</v>
      </c>
      <c r="H21" s="1">
        <v>0.25</v>
      </c>
      <c r="I21" t="s">
        <v>33</v>
      </c>
      <c r="J21" t="s">
        <v>102</v>
      </c>
    </row>
    <row r="22" spans="1:10">
      <c r="A22" t="s">
        <v>103</v>
      </c>
      <c r="B22" t="s">
        <v>104</v>
      </c>
      <c r="C22" t="s">
        <v>47</v>
      </c>
      <c r="D22" t="s">
        <v>105</v>
      </c>
      <c r="E22" t="s">
        <v>14</v>
      </c>
      <c r="F22">
        <v>6400</v>
      </c>
      <c r="G22">
        <v>0</v>
      </c>
      <c r="H22" s="1">
        <v>0.18</v>
      </c>
      <c r="I22" t="s">
        <v>15</v>
      </c>
      <c r="J22" t="s">
        <v>106</v>
      </c>
    </row>
    <row r="23" spans="1:10">
      <c r="A23" t="s">
        <v>107</v>
      </c>
      <c r="B23" t="s">
        <v>108</v>
      </c>
      <c r="C23" t="s">
        <v>12</v>
      </c>
      <c r="D23" t="s">
        <v>109</v>
      </c>
      <c r="E23" t="s">
        <v>14</v>
      </c>
      <c r="F23">
        <v>8100</v>
      </c>
      <c r="G23">
        <v>0</v>
      </c>
      <c r="H23" s="1">
        <v>0.22</v>
      </c>
      <c r="I23" t="s">
        <v>21</v>
      </c>
      <c r="J23" t="s">
        <v>110</v>
      </c>
    </row>
    <row r="24" spans="1:10">
      <c r="A24" t="s">
        <v>111</v>
      </c>
      <c r="B24" t="s">
        <v>112</v>
      </c>
      <c r="C24" t="s">
        <v>19</v>
      </c>
      <c r="D24" t="s">
        <v>113</v>
      </c>
      <c r="E24" t="s">
        <v>14</v>
      </c>
      <c r="F24">
        <v>9400</v>
      </c>
      <c r="G24">
        <v>0</v>
      </c>
      <c r="H24" s="1">
        <v>0.25</v>
      </c>
      <c r="I24" t="s">
        <v>27</v>
      </c>
      <c r="J24" t="s">
        <v>114</v>
      </c>
    </row>
    <row r="25" spans="1:10">
      <c r="A25" t="s">
        <v>115</v>
      </c>
      <c r="B25" t="s">
        <v>116</v>
      </c>
      <c r="C25" t="s">
        <v>25</v>
      </c>
      <c r="D25" t="s">
        <v>117</v>
      </c>
      <c r="E25" t="s">
        <v>14</v>
      </c>
      <c r="F25">
        <v>7900</v>
      </c>
      <c r="G25">
        <v>0</v>
      </c>
      <c r="H25" s="1">
        <v>0.2</v>
      </c>
      <c r="I25" t="s">
        <v>33</v>
      </c>
      <c r="J25" t="s">
        <v>118</v>
      </c>
    </row>
    <row r="26" spans="1:10">
      <c r="A26" t="s">
        <v>119</v>
      </c>
      <c r="B26" t="s">
        <v>120</v>
      </c>
      <c r="C26" t="s">
        <v>31</v>
      </c>
      <c r="D26" t="s">
        <v>121</v>
      </c>
      <c r="E26" t="s">
        <v>14</v>
      </c>
      <c r="F26">
        <v>4900</v>
      </c>
      <c r="G26">
        <v>0</v>
      </c>
      <c r="H26" s="1">
        <v>0.12</v>
      </c>
      <c r="I26" t="s">
        <v>15</v>
      </c>
      <c r="J26" t="s">
        <v>122</v>
      </c>
    </row>
    <row r="27" spans="1:10">
      <c r="A27" t="s">
        <v>123</v>
      </c>
      <c r="B27" t="s">
        <v>124</v>
      </c>
      <c r="C27" t="s">
        <v>37</v>
      </c>
      <c r="D27" t="s">
        <v>125</v>
      </c>
      <c r="E27" t="s">
        <v>53</v>
      </c>
      <c r="F27">
        <v>0</v>
      </c>
      <c r="G27">
        <v>38</v>
      </c>
      <c r="H27" s="1">
        <v>0.12</v>
      </c>
      <c r="I27" t="s">
        <v>21</v>
      </c>
      <c r="J27" t="s">
        <v>126</v>
      </c>
    </row>
    <row r="28" spans="1:10">
      <c r="A28" t="s">
        <v>127</v>
      </c>
      <c r="B28" t="s">
        <v>128</v>
      </c>
      <c r="C28" t="s">
        <v>42</v>
      </c>
      <c r="D28" t="s">
        <v>129</v>
      </c>
      <c r="E28" t="s">
        <v>14</v>
      </c>
      <c r="F28">
        <v>6700</v>
      </c>
      <c r="G28">
        <v>0</v>
      </c>
      <c r="H28" s="1">
        <v>0.18</v>
      </c>
      <c r="I28" t="s">
        <v>27</v>
      </c>
      <c r="J28" t="s">
        <v>130</v>
      </c>
    </row>
    <row r="29" spans="1:10">
      <c r="A29" t="s">
        <v>131</v>
      </c>
      <c r="B29" t="s">
        <v>132</v>
      </c>
      <c r="C29" t="s">
        <v>47</v>
      </c>
      <c r="D29" t="s">
        <v>133</v>
      </c>
      <c r="E29" t="s">
        <v>14</v>
      </c>
      <c r="F29">
        <v>5400</v>
      </c>
      <c r="G29">
        <v>0</v>
      </c>
      <c r="H29" s="1">
        <v>0.15</v>
      </c>
      <c r="I29" t="s">
        <v>33</v>
      </c>
      <c r="J29" t="s">
        <v>134</v>
      </c>
    </row>
    <row r="30" spans="1:10">
      <c r="A30" t="s">
        <v>135</v>
      </c>
      <c r="B30" t="s">
        <v>136</v>
      </c>
      <c r="C30" t="s">
        <v>12</v>
      </c>
      <c r="D30" t="s">
        <v>137</v>
      </c>
      <c r="E30" t="s">
        <v>14</v>
      </c>
      <c r="F30">
        <v>8300</v>
      </c>
      <c r="G30">
        <v>0</v>
      </c>
      <c r="H30" s="1">
        <v>0.22</v>
      </c>
      <c r="I30" t="s">
        <v>15</v>
      </c>
      <c r="J30" t="s">
        <v>138</v>
      </c>
    </row>
    <row r="31" spans="1:10">
      <c r="A31" t="s">
        <v>139</v>
      </c>
      <c r="B31" t="s">
        <v>140</v>
      </c>
      <c r="C31" t="s">
        <v>19</v>
      </c>
      <c r="D31" t="s">
        <v>141</v>
      </c>
      <c r="E31" t="s">
        <v>14</v>
      </c>
      <c r="F31">
        <v>9800</v>
      </c>
      <c r="G31">
        <v>0</v>
      </c>
      <c r="H31" s="1">
        <v>0.25</v>
      </c>
      <c r="I31" t="s">
        <v>21</v>
      </c>
      <c r="J31" t="s">
        <v>142</v>
      </c>
    </row>
    <row r="32" spans="1:10">
      <c r="A32" t="s">
        <v>143</v>
      </c>
      <c r="B32" t="s">
        <v>144</v>
      </c>
      <c r="C32" t="s">
        <v>25</v>
      </c>
      <c r="D32" t="s">
        <v>145</v>
      </c>
      <c r="E32" t="s">
        <v>14</v>
      </c>
      <c r="F32">
        <v>4600</v>
      </c>
      <c r="G32">
        <v>0</v>
      </c>
      <c r="H32" s="1">
        <v>0.1</v>
      </c>
      <c r="I32" t="s">
        <v>27</v>
      </c>
      <c r="J32" t="s">
        <v>146</v>
      </c>
    </row>
    <row r="33" spans="1:10">
      <c r="A33" t="s">
        <v>147</v>
      </c>
      <c r="B33" t="s">
        <v>148</v>
      </c>
      <c r="C33" t="s">
        <v>31</v>
      </c>
      <c r="D33" t="s">
        <v>149</v>
      </c>
      <c r="E33" t="s">
        <v>14</v>
      </c>
      <c r="F33">
        <v>5100</v>
      </c>
      <c r="G33">
        <v>0</v>
      </c>
      <c r="H33" s="1">
        <v>0.15</v>
      </c>
      <c r="I33" t="s">
        <v>33</v>
      </c>
      <c r="J33" t="s">
        <v>150</v>
      </c>
    </row>
    <row r="34" spans="1:10">
      <c r="A34" t="s">
        <v>151</v>
      </c>
      <c r="B34" t="s">
        <v>152</v>
      </c>
      <c r="C34" t="s">
        <v>37</v>
      </c>
      <c r="D34" t="s">
        <v>153</v>
      </c>
      <c r="E34" t="s">
        <v>14</v>
      </c>
      <c r="F34">
        <v>7400</v>
      </c>
      <c r="G34">
        <v>0</v>
      </c>
      <c r="H34" s="1">
        <v>0.2</v>
      </c>
      <c r="I34" t="s">
        <v>15</v>
      </c>
      <c r="J34" t="s">
        <v>154</v>
      </c>
    </row>
    <row r="35" spans="1:10">
      <c r="A35" t="s">
        <v>155</v>
      </c>
      <c r="B35" t="s">
        <v>156</v>
      </c>
      <c r="C35" t="s">
        <v>42</v>
      </c>
      <c r="D35" t="s">
        <v>157</v>
      </c>
      <c r="E35" t="s">
        <v>14</v>
      </c>
      <c r="F35">
        <v>6200</v>
      </c>
      <c r="G35">
        <v>0</v>
      </c>
      <c r="H35" s="1">
        <v>0.18</v>
      </c>
      <c r="I35" t="s">
        <v>21</v>
      </c>
      <c r="J35" t="s">
        <v>158</v>
      </c>
    </row>
    <row r="36" spans="1:10">
      <c r="A36" t="s">
        <v>159</v>
      </c>
      <c r="B36" t="s">
        <v>160</v>
      </c>
      <c r="C36" t="s">
        <v>47</v>
      </c>
      <c r="D36" t="s">
        <v>161</v>
      </c>
      <c r="E36" t="s">
        <v>14</v>
      </c>
      <c r="F36">
        <v>6900</v>
      </c>
      <c r="G36">
        <v>0</v>
      </c>
      <c r="H36" s="1">
        <v>0.18</v>
      </c>
      <c r="I36" t="s">
        <v>27</v>
      </c>
      <c r="J36" t="s">
        <v>162</v>
      </c>
    </row>
    <row r="37" spans="1:10">
      <c r="A37" t="s">
        <v>163</v>
      </c>
      <c r="B37" t="s">
        <v>164</v>
      </c>
      <c r="C37" t="s">
        <v>12</v>
      </c>
      <c r="D37" t="s">
        <v>165</v>
      </c>
      <c r="E37" t="s">
        <v>14</v>
      </c>
      <c r="F37">
        <v>9100</v>
      </c>
      <c r="G37">
        <v>0</v>
      </c>
      <c r="H37" s="1">
        <v>0.25</v>
      </c>
      <c r="I37" t="s">
        <v>33</v>
      </c>
      <c r="J37" t="s">
        <v>166</v>
      </c>
    </row>
    <row r="38" spans="1:10">
      <c r="A38" t="s">
        <v>167</v>
      </c>
      <c r="B38" t="s">
        <v>168</v>
      </c>
      <c r="C38" t="s">
        <v>19</v>
      </c>
      <c r="D38" t="s">
        <v>169</v>
      </c>
      <c r="E38" t="s">
        <v>53</v>
      </c>
      <c r="F38">
        <v>0</v>
      </c>
      <c r="G38">
        <v>42</v>
      </c>
      <c r="H38" s="1">
        <v>0.15</v>
      </c>
      <c r="I38" t="s">
        <v>15</v>
      </c>
      <c r="J38" t="s">
        <v>170</v>
      </c>
    </row>
    <row r="39" spans="1:10">
      <c r="A39" t="s">
        <v>171</v>
      </c>
      <c r="B39" t="s">
        <v>172</v>
      </c>
      <c r="C39" t="s">
        <v>25</v>
      </c>
      <c r="D39" t="s">
        <v>173</v>
      </c>
      <c r="E39" t="s">
        <v>14</v>
      </c>
      <c r="F39">
        <v>10500</v>
      </c>
      <c r="G39">
        <v>0</v>
      </c>
      <c r="H39" s="1">
        <v>0.25</v>
      </c>
      <c r="I39" t="s">
        <v>21</v>
      </c>
      <c r="J39" t="s">
        <v>174</v>
      </c>
    </row>
    <row r="40" spans="1:10">
      <c r="A40" t="s">
        <v>175</v>
      </c>
      <c r="B40" t="s">
        <v>176</v>
      </c>
      <c r="C40" t="s">
        <v>31</v>
      </c>
      <c r="D40" t="s">
        <v>177</v>
      </c>
      <c r="E40" t="s">
        <v>14</v>
      </c>
      <c r="F40">
        <v>7300</v>
      </c>
      <c r="G40">
        <v>0</v>
      </c>
      <c r="H40" s="1">
        <v>0.2</v>
      </c>
      <c r="I40" t="s">
        <v>27</v>
      </c>
      <c r="J40" t="s">
        <v>178</v>
      </c>
    </row>
    <row r="41" spans="1:10">
      <c r="A41" t="s">
        <v>179</v>
      </c>
      <c r="B41" t="s">
        <v>180</v>
      </c>
      <c r="C41" t="s">
        <v>37</v>
      </c>
      <c r="D41" t="s">
        <v>181</v>
      </c>
      <c r="E41" t="s">
        <v>53</v>
      </c>
      <c r="F41">
        <v>0</v>
      </c>
      <c r="G41">
        <v>32</v>
      </c>
      <c r="H41" s="1">
        <v>0.12</v>
      </c>
      <c r="I41" t="s">
        <v>33</v>
      </c>
      <c r="J41" t="s">
        <v>182</v>
      </c>
    </row>
    <row r="42" spans="1:10">
      <c r="A42" t="s">
        <v>183</v>
      </c>
      <c r="B42" t="s">
        <v>184</v>
      </c>
      <c r="C42" t="s">
        <v>42</v>
      </c>
      <c r="D42" t="s">
        <v>185</v>
      </c>
      <c r="E42" t="s">
        <v>14</v>
      </c>
      <c r="F42">
        <v>8800</v>
      </c>
      <c r="G42">
        <v>0</v>
      </c>
      <c r="H42" s="1">
        <v>0.25</v>
      </c>
      <c r="I42" t="s">
        <v>15</v>
      </c>
      <c r="J42" t="s">
        <v>186</v>
      </c>
    </row>
    <row r="43" spans="1:10">
      <c r="A43" t="s">
        <v>187</v>
      </c>
      <c r="B43" t="s">
        <v>188</v>
      </c>
      <c r="C43" t="s">
        <v>47</v>
      </c>
      <c r="D43" t="s">
        <v>189</v>
      </c>
      <c r="E43" t="s">
        <v>14</v>
      </c>
      <c r="F43">
        <v>6300</v>
      </c>
      <c r="G43">
        <v>0</v>
      </c>
      <c r="H43" s="1">
        <v>0.18</v>
      </c>
      <c r="I43" t="s">
        <v>21</v>
      </c>
      <c r="J43" t="s">
        <v>190</v>
      </c>
    </row>
    <row r="44" spans="1:10">
      <c r="A44" t="s">
        <v>191</v>
      </c>
      <c r="B44" t="s">
        <v>192</v>
      </c>
      <c r="C44" t="s">
        <v>12</v>
      </c>
      <c r="D44" t="s">
        <v>193</v>
      </c>
      <c r="E44" t="s">
        <v>14</v>
      </c>
      <c r="F44">
        <v>7500</v>
      </c>
      <c r="G44">
        <v>0</v>
      </c>
      <c r="H44" s="1">
        <v>0.2</v>
      </c>
      <c r="I44" t="s">
        <v>27</v>
      </c>
      <c r="J44" t="s">
        <v>194</v>
      </c>
    </row>
    <row r="45" spans="1:10">
      <c r="A45" t="s">
        <v>195</v>
      </c>
      <c r="B45" t="s">
        <v>196</v>
      </c>
      <c r="C45" t="s">
        <v>19</v>
      </c>
      <c r="D45" t="s">
        <v>197</v>
      </c>
      <c r="E45" t="s">
        <v>14</v>
      </c>
      <c r="F45">
        <v>8200</v>
      </c>
      <c r="G45">
        <v>0</v>
      </c>
      <c r="H45" s="1">
        <v>0.22</v>
      </c>
      <c r="I45" t="s">
        <v>33</v>
      </c>
      <c r="J45" t="s">
        <v>198</v>
      </c>
    </row>
    <row r="46" spans="1:10">
      <c r="A46" t="s">
        <v>199</v>
      </c>
      <c r="B46" t="s">
        <v>200</v>
      </c>
      <c r="C46" t="s">
        <v>25</v>
      </c>
      <c r="D46" t="s">
        <v>201</v>
      </c>
      <c r="E46" t="s">
        <v>14</v>
      </c>
      <c r="F46">
        <v>5200</v>
      </c>
      <c r="G46">
        <v>0</v>
      </c>
      <c r="H46" s="1">
        <v>0.15</v>
      </c>
      <c r="I46" t="s">
        <v>15</v>
      </c>
      <c r="J46" t="s">
        <v>202</v>
      </c>
    </row>
    <row r="47" spans="1:10">
      <c r="A47" t="s">
        <v>203</v>
      </c>
      <c r="B47" t="s">
        <v>204</v>
      </c>
      <c r="C47" t="s">
        <v>31</v>
      </c>
      <c r="D47" t="s">
        <v>205</v>
      </c>
      <c r="E47" t="s">
        <v>14</v>
      </c>
      <c r="F47">
        <v>6600</v>
      </c>
      <c r="G47">
        <v>0</v>
      </c>
      <c r="H47" s="1">
        <v>0.18</v>
      </c>
      <c r="I47" t="s">
        <v>21</v>
      </c>
      <c r="J47" t="s">
        <v>206</v>
      </c>
    </row>
    <row r="48" spans="1:10">
      <c r="A48" t="s">
        <v>207</v>
      </c>
      <c r="B48" t="s">
        <v>208</v>
      </c>
      <c r="C48" t="s">
        <v>37</v>
      </c>
      <c r="D48" t="s">
        <v>209</v>
      </c>
      <c r="E48" t="s">
        <v>53</v>
      </c>
      <c r="F48">
        <v>0</v>
      </c>
      <c r="G48">
        <v>35</v>
      </c>
      <c r="H48" s="1">
        <v>0.12</v>
      </c>
      <c r="I48" t="s">
        <v>27</v>
      </c>
      <c r="J48" t="s">
        <v>210</v>
      </c>
    </row>
    <row r="49" spans="1:10">
      <c r="A49" t="s">
        <v>211</v>
      </c>
      <c r="B49" t="s">
        <v>212</v>
      </c>
      <c r="C49" t="s">
        <v>42</v>
      </c>
      <c r="D49" t="s">
        <v>213</v>
      </c>
      <c r="E49" t="s">
        <v>14</v>
      </c>
      <c r="F49">
        <v>4700</v>
      </c>
      <c r="G49">
        <v>0</v>
      </c>
      <c r="H49" s="1">
        <v>0.1</v>
      </c>
      <c r="I49" t="s">
        <v>33</v>
      </c>
      <c r="J49" t="s">
        <v>214</v>
      </c>
    </row>
    <row r="50" spans="1:10">
      <c r="A50" t="s">
        <v>215</v>
      </c>
      <c r="B50" t="s">
        <v>216</v>
      </c>
      <c r="C50" t="s">
        <v>47</v>
      </c>
      <c r="D50" t="s">
        <v>217</v>
      </c>
      <c r="E50" t="s">
        <v>14</v>
      </c>
      <c r="F50">
        <v>5800</v>
      </c>
      <c r="G50">
        <v>0</v>
      </c>
      <c r="H50" s="1">
        <v>0.15</v>
      </c>
      <c r="I50" t="s">
        <v>15</v>
      </c>
      <c r="J50" t="s">
        <v>218</v>
      </c>
    </row>
    <row r="51" spans="1:10">
      <c r="A51" t="s">
        <v>219</v>
      </c>
      <c r="B51" t="s">
        <v>220</v>
      </c>
      <c r="C51" t="s">
        <v>12</v>
      </c>
      <c r="D51" t="s">
        <v>221</v>
      </c>
      <c r="E51" t="s">
        <v>14</v>
      </c>
      <c r="F51">
        <v>8600</v>
      </c>
      <c r="G51">
        <v>0</v>
      </c>
      <c r="H51" s="1">
        <v>0.22</v>
      </c>
      <c r="I51" t="s">
        <v>21</v>
      </c>
      <c r="J51" t="s">
        <v>222</v>
      </c>
    </row>
    <row r="52" spans="1:10">
      <c r="A52" t="s">
        <v>223</v>
      </c>
      <c r="B52" t="s">
        <v>224</v>
      </c>
      <c r="C52" t="s">
        <v>19</v>
      </c>
      <c r="D52" t="s">
        <v>225</v>
      </c>
      <c r="E52" t="s">
        <v>14</v>
      </c>
      <c r="F52">
        <v>5300</v>
      </c>
      <c r="G52">
        <v>0</v>
      </c>
      <c r="H52" s="1">
        <v>0.15</v>
      </c>
      <c r="I52" t="s">
        <v>27</v>
      </c>
      <c r="J52" t="s">
        <v>226</v>
      </c>
    </row>
    <row r="53" spans="1:10">
      <c r="A53" t="s">
        <v>227</v>
      </c>
      <c r="B53" t="s">
        <v>228</v>
      </c>
      <c r="C53" t="s">
        <v>25</v>
      </c>
      <c r="D53" t="s">
        <v>229</v>
      </c>
      <c r="E53" t="s">
        <v>14</v>
      </c>
      <c r="F53">
        <v>5500</v>
      </c>
      <c r="G53">
        <v>0</v>
      </c>
      <c r="H53" s="1">
        <v>0.15</v>
      </c>
      <c r="I53" t="s">
        <v>33</v>
      </c>
      <c r="J53" t="s">
        <v>230</v>
      </c>
    </row>
    <row r="54" spans="1:10">
      <c r="A54" t="s">
        <v>231</v>
      </c>
      <c r="B54" t="s">
        <v>232</v>
      </c>
      <c r="C54" t="s">
        <v>31</v>
      </c>
      <c r="D54" t="s">
        <v>233</v>
      </c>
      <c r="E54" t="s">
        <v>14</v>
      </c>
      <c r="F54">
        <v>8400</v>
      </c>
      <c r="G54">
        <v>0</v>
      </c>
      <c r="H54" s="1">
        <v>0.22</v>
      </c>
      <c r="I54" t="s">
        <v>15</v>
      </c>
      <c r="J54" t="s">
        <v>234</v>
      </c>
    </row>
    <row r="55" spans="1:10">
      <c r="A55" t="s">
        <v>235</v>
      </c>
      <c r="B55" t="s">
        <v>236</v>
      </c>
      <c r="C55" t="s">
        <v>37</v>
      </c>
      <c r="D55" t="s">
        <v>237</v>
      </c>
      <c r="E55" t="s">
        <v>14</v>
      </c>
      <c r="F55">
        <v>4900</v>
      </c>
      <c r="G55">
        <v>0</v>
      </c>
      <c r="H55" s="1">
        <v>0.12</v>
      </c>
      <c r="I55" t="s">
        <v>21</v>
      </c>
      <c r="J55" t="s">
        <v>238</v>
      </c>
    </row>
    <row r="56" spans="1:10">
      <c r="A56" t="s">
        <v>239</v>
      </c>
      <c r="B56" t="s">
        <v>240</v>
      </c>
      <c r="C56" t="s">
        <v>42</v>
      </c>
      <c r="D56" t="s">
        <v>241</v>
      </c>
      <c r="E56" t="s">
        <v>14</v>
      </c>
      <c r="F56">
        <v>12000</v>
      </c>
      <c r="G56">
        <v>0</v>
      </c>
      <c r="H56" s="1">
        <v>0.25</v>
      </c>
      <c r="I56" t="s">
        <v>27</v>
      </c>
      <c r="J56" t="s">
        <v>242</v>
      </c>
    </row>
    <row r="57" spans="1:10">
      <c r="A57" t="s">
        <v>243</v>
      </c>
      <c r="B57" t="s">
        <v>244</v>
      </c>
      <c r="C57" t="s">
        <v>47</v>
      </c>
      <c r="D57" t="s">
        <v>245</v>
      </c>
      <c r="E57" t="s">
        <v>14</v>
      </c>
      <c r="F57">
        <v>5900</v>
      </c>
      <c r="G57">
        <v>0</v>
      </c>
      <c r="H57" s="1">
        <v>0.15</v>
      </c>
      <c r="I57" t="s">
        <v>33</v>
      </c>
      <c r="J57" t="s">
        <v>246</v>
      </c>
    </row>
    <row r="58" spans="1:10">
      <c r="A58" t="s">
        <v>247</v>
      </c>
      <c r="B58" t="s">
        <v>248</v>
      </c>
      <c r="C58" t="s">
        <v>12</v>
      </c>
      <c r="D58" t="s">
        <v>249</v>
      </c>
      <c r="E58" t="s">
        <v>14</v>
      </c>
      <c r="F58">
        <v>9900</v>
      </c>
      <c r="G58">
        <v>0</v>
      </c>
      <c r="H58" s="1">
        <v>0.25</v>
      </c>
      <c r="I58" t="s">
        <v>15</v>
      </c>
      <c r="J58" t="s">
        <v>102</v>
      </c>
    </row>
    <row r="59" spans="1:10">
      <c r="A59" t="s">
        <v>250</v>
      </c>
      <c r="B59" t="s">
        <v>251</v>
      </c>
      <c r="C59" t="s">
        <v>19</v>
      </c>
      <c r="D59" t="s">
        <v>252</v>
      </c>
      <c r="E59" t="s">
        <v>14</v>
      </c>
      <c r="F59">
        <v>9200</v>
      </c>
      <c r="G59">
        <v>0</v>
      </c>
      <c r="H59" s="1">
        <v>0.25</v>
      </c>
      <c r="I59" t="s">
        <v>21</v>
      </c>
      <c r="J59" t="s">
        <v>253</v>
      </c>
    </row>
    <row r="60" spans="1:10">
      <c r="A60" t="s">
        <v>254</v>
      </c>
      <c r="B60" t="s">
        <v>255</v>
      </c>
      <c r="C60" t="s">
        <v>25</v>
      </c>
      <c r="D60" t="s">
        <v>256</v>
      </c>
      <c r="E60" t="s">
        <v>14</v>
      </c>
      <c r="F60">
        <v>7100</v>
      </c>
      <c r="G60">
        <v>0</v>
      </c>
      <c r="H60" s="1">
        <v>0.18</v>
      </c>
      <c r="I60" t="s">
        <v>27</v>
      </c>
      <c r="J60" t="s">
        <v>257</v>
      </c>
    </row>
    <row r="61" spans="1:10">
      <c r="A61" t="s">
        <v>258</v>
      </c>
      <c r="B61" t="s">
        <v>259</v>
      </c>
      <c r="C61" t="s">
        <v>31</v>
      </c>
      <c r="D61" t="s">
        <v>260</v>
      </c>
      <c r="E61" t="s">
        <v>14</v>
      </c>
      <c r="F61">
        <v>4600</v>
      </c>
      <c r="G61">
        <v>0</v>
      </c>
      <c r="H61" s="1">
        <v>0.1</v>
      </c>
      <c r="I61" t="s">
        <v>33</v>
      </c>
      <c r="J61" t="s">
        <v>261</v>
      </c>
    </row>
    <row r="62" spans="1:10">
      <c r="A62" t="s">
        <v>262</v>
      </c>
      <c r="B62" t="s">
        <v>263</v>
      </c>
      <c r="C62" t="s">
        <v>37</v>
      </c>
      <c r="D62" t="s">
        <v>264</v>
      </c>
      <c r="E62" t="s">
        <v>53</v>
      </c>
      <c r="F62">
        <v>0</v>
      </c>
      <c r="G62">
        <v>40</v>
      </c>
      <c r="H62" s="1">
        <v>0.15</v>
      </c>
      <c r="I62" t="s">
        <v>15</v>
      </c>
      <c r="J62" t="s">
        <v>265</v>
      </c>
    </row>
    <row r="63" spans="1:10">
      <c r="A63" t="s">
        <v>266</v>
      </c>
      <c r="B63" t="s">
        <v>267</v>
      </c>
      <c r="C63" t="s">
        <v>42</v>
      </c>
      <c r="D63" t="s">
        <v>268</v>
      </c>
      <c r="E63" t="s">
        <v>14</v>
      </c>
      <c r="F63">
        <v>5100</v>
      </c>
      <c r="G63">
        <v>0</v>
      </c>
      <c r="H63" s="1">
        <v>0.15</v>
      </c>
      <c r="I63" t="s">
        <v>21</v>
      </c>
      <c r="J63" t="s">
        <v>269</v>
      </c>
    </row>
    <row r="64" spans="1:10">
      <c r="A64" t="s">
        <v>270</v>
      </c>
      <c r="B64" t="s">
        <v>271</v>
      </c>
      <c r="C64" t="s">
        <v>47</v>
      </c>
      <c r="D64" t="s">
        <v>272</v>
      </c>
      <c r="E64" t="s">
        <v>14</v>
      </c>
      <c r="F64">
        <v>6500</v>
      </c>
      <c r="G64">
        <v>0</v>
      </c>
      <c r="H64" s="1">
        <v>0.18</v>
      </c>
      <c r="I64" t="s">
        <v>27</v>
      </c>
      <c r="J64" t="s">
        <v>273</v>
      </c>
    </row>
    <row r="65" spans="1:10">
      <c r="A65" t="s">
        <v>274</v>
      </c>
      <c r="B65" t="s">
        <v>275</v>
      </c>
      <c r="C65" t="s">
        <v>12</v>
      </c>
      <c r="D65" t="s">
        <v>276</v>
      </c>
      <c r="E65" t="s">
        <v>14</v>
      </c>
      <c r="F65">
        <v>7800</v>
      </c>
      <c r="G65">
        <v>0</v>
      </c>
      <c r="H65" s="1">
        <v>0.2</v>
      </c>
      <c r="I65" t="s">
        <v>33</v>
      </c>
      <c r="J65" t="s">
        <v>277</v>
      </c>
    </row>
    <row r="66" spans="1:10">
      <c r="A66" t="s">
        <v>278</v>
      </c>
      <c r="B66" t="s">
        <v>279</v>
      </c>
      <c r="C66" t="s">
        <v>19</v>
      </c>
      <c r="D66" t="s">
        <v>280</v>
      </c>
      <c r="E66" t="s">
        <v>14</v>
      </c>
      <c r="F66">
        <v>7400</v>
      </c>
      <c r="G66">
        <v>0</v>
      </c>
      <c r="H66" s="1">
        <v>0.2</v>
      </c>
      <c r="I66" t="s">
        <v>15</v>
      </c>
      <c r="J66" t="s">
        <v>281</v>
      </c>
    </row>
    <row r="67" spans="1:10">
      <c r="A67" t="s">
        <v>282</v>
      </c>
      <c r="B67" t="s">
        <v>283</v>
      </c>
      <c r="C67" t="s">
        <v>25</v>
      </c>
      <c r="D67" t="s">
        <v>284</v>
      </c>
      <c r="E67" t="s">
        <v>14</v>
      </c>
      <c r="F67">
        <v>4200</v>
      </c>
      <c r="G67">
        <v>0</v>
      </c>
      <c r="H67" s="1">
        <v>0.1</v>
      </c>
      <c r="I67" t="s">
        <v>21</v>
      </c>
      <c r="J67" t="s">
        <v>285</v>
      </c>
    </row>
    <row r="68" spans="1:10">
      <c r="A68" t="s">
        <v>286</v>
      </c>
      <c r="B68" t="s">
        <v>287</v>
      </c>
      <c r="C68" t="s">
        <v>31</v>
      </c>
      <c r="D68" t="s">
        <v>288</v>
      </c>
      <c r="E68" t="s">
        <v>14</v>
      </c>
      <c r="F68">
        <v>7200</v>
      </c>
      <c r="G68">
        <v>0</v>
      </c>
      <c r="H68" s="1">
        <v>0.2</v>
      </c>
      <c r="I68" t="s">
        <v>27</v>
      </c>
      <c r="J68" t="s">
        <v>289</v>
      </c>
    </row>
    <row r="69" spans="1:10">
      <c r="A69" t="s">
        <v>290</v>
      </c>
      <c r="B69" t="s">
        <v>291</v>
      </c>
      <c r="C69" t="s">
        <v>37</v>
      </c>
      <c r="D69" t="s">
        <v>292</v>
      </c>
      <c r="E69" t="s">
        <v>53</v>
      </c>
      <c r="F69">
        <v>0</v>
      </c>
      <c r="G69">
        <v>30</v>
      </c>
      <c r="H69" s="1">
        <v>0.1</v>
      </c>
      <c r="I69" t="s">
        <v>33</v>
      </c>
      <c r="J69" t="s">
        <v>293</v>
      </c>
    </row>
    <row r="70" spans="1:10">
      <c r="A70" t="s">
        <v>294</v>
      </c>
      <c r="B70" t="s">
        <v>295</v>
      </c>
      <c r="C70" t="s">
        <v>42</v>
      </c>
      <c r="D70" t="s">
        <v>296</v>
      </c>
      <c r="E70" t="s">
        <v>14</v>
      </c>
      <c r="F70">
        <v>8100</v>
      </c>
      <c r="G70">
        <v>0</v>
      </c>
      <c r="H70" s="1">
        <v>0.22</v>
      </c>
      <c r="I70" t="s">
        <v>15</v>
      </c>
      <c r="J70" t="s">
        <v>297</v>
      </c>
    </row>
    <row r="71" spans="1:10">
      <c r="A71" t="s">
        <v>298</v>
      </c>
      <c r="B71" t="s">
        <v>299</v>
      </c>
      <c r="C71" t="s">
        <v>47</v>
      </c>
      <c r="D71" t="s">
        <v>300</v>
      </c>
      <c r="E71" t="s">
        <v>14</v>
      </c>
      <c r="F71">
        <v>5700</v>
      </c>
      <c r="G71">
        <v>0</v>
      </c>
      <c r="H71" s="1">
        <v>0.15</v>
      </c>
      <c r="I71" t="s">
        <v>21</v>
      </c>
      <c r="J71" t="s">
        <v>301</v>
      </c>
    </row>
    <row r="72" spans="1:10">
      <c r="A72" t="s">
        <v>302</v>
      </c>
      <c r="B72" t="s">
        <v>303</v>
      </c>
      <c r="C72" t="s">
        <v>12</v>
      </c>
      <c r="D72" t="s">
        <v>304</v>
      </c>
      <c r="E72" t="s">
        <v>14</v>
      </c>
      <c r="F72">
        <v>10200</v>
      </c>
      <c r="G72">
        <v>0</v>
      </c>
      <c r="H72" s="1">
        <v>0.25</v>
      </c>
      <c r="I72" t="s">
        <v>27</v>
      </c>
      <c r="J72" t="s">
        <v>305</v>
      </c>
    </row>
    <row r="73" spans="1:10">
      <c r="A73" t="s">
        <v>306</v>
      </c>
      <c r="B73" t="s">
        <v>307</v>
      </c>
      <c r="C73" t="s">
        <v>19</v>
      </c>
      <c r="D73" t="s">
        <v>308</v>
      </c>
      <c r="E73" t="s">
        <v>14</v>
      </c>
      <c r="F73">
        <v>6100</v>
      </c>
      <c r="G73">
        <v>0</v>
      </c>
      <c r="H73" s="1">
        <v>0.18</v>
      </c>
      <c r="I73" t="s">
        <v>33</v>
      </c>
      <c r="J73" t="s">
        <v>309</v>
      </c>
    </row>
    <row r="74" spans="1:10">
      <c r="A74" t="s">
        <v>310</v>
      </c>
      <c r="B74" t="s">
        <v>311</v>
      </c>
      <c r="C74" t="s">
        <v>25</v>
      </c>
      <c r="D74" t="s">
        <v>312</v>
      </c>
      <c r="E74" t="s">
        <v>14</v>
      </c>
      <c r="F74">
        <v>5300</v>
      </c>
      <c r="G74">
        <v>0</v>
      </c>
      <c r="H74" s="1">
        <v>0.15</v>
      </c>
      <c r="I74" t="s">
        <v>15</v>
      </c>
      <c r="J74" t="s">
        <v>313</v>
      </c>
    </row>
    <row r="75" spans="1:10">
      <c r="A75" t="s">
        <v>314</v>
      </c>
      <c r="B75" t="s">
        <v>315</v>
      </c>
      <c r="C75" t="s">
        <v>31</v>
      </c>
      <c r="D75" t="s">
        <v>316</v>
      </c>
      <c r="E75" t="s">
        <v>14</v>
      </c>
      <c r="F75">
        <v>7900</v>
      </c>
      <c r="G75">
        <v>0</v>
      </c>
      <c r="H75" s="1">
        <v>0.2</v>
      </c>
      <c r="I75" t="s">
        <v>21</v>
      </c>
      <c r="J75" t="s">
        <v>317</v>
      </c>
    </row>
    <row r="76" spans="1:10">
      <c r="A76" t="s">
        <v>318</v>
      </c>
      <c r="B76" t="s">
        <v>319</v>
      </c>
      <c r="C76" t="s">
        <v>37</v>
      </c>
      <c r="D76" t="s">
        <v>320</v>
      </c>
      <c r="E76" t="s">
        <v>14</v>
      </c>
      <c r="F76">
        <v>8300</v>
      </c>
      <c r="G76">
        <v>0</v>
      </c>
      <c r="H76" s="1">
        <v>0.22</v>
      </c>
      <c r="I76" t="s">
        <v>27</v>
      </c>
      <c r="J76" t="s">
        <v>321</v>
      </c>
    </row>
    <row r="77" spans="1:10">
      <c r="A77" t="s">
        <v>322</v>
      </c>
      <c r="B77" t="s">
        <v>323</v>
      </c>
      <c r="C77" t="s">
        <v>42</v>
      </c>
      <c r="D77" t="s">
        <v>324</v>
      </c>
      <c r="E77" t="s">
        <v>14</v>
      </c>
      <c r="F77">
        <v>4500</v>
      </c>
      <c r="G77">
        <v>0</v>
      </c>
      <c r="H77" s="1">
        <v>0.1</v>
      </c>
      <c r="I77" t="s">
        <v>33</v>
      </c>
      <c r="J77" t="s">
        <v>325</v>
      </c>
    </row>
    <row r="78" spans="1:10">
      <c r="A78" t="s">
        <v>326</v>
      </c>
      <c r="B78" t="s">
        <v>327</v>
      </c>
      <c r="C78" t="s">
        <v>47</v>
      </c>
      <c r="D78" t="s">
        <v>328</v>
      </c>
      <c r="E78" t="s">
        <v>14</v>
      </c>
      <c r="F78">
        <v>5600</v>
      </c>
      <c r="G78">
        <v>0</v>
      </c>
      <c r="H78" s="1">
        <v>0.15</v>
      </c>
      <c r="I78" t="s">
        <v>15</v>
      </c>
      <c r="J78" t="s">
        <v>329</v>
      </c>
    </row>
    <row r="79" spans="1:10">
      <c r="A79" t="s">
        <v>330</v>
      </c>
      <c r="B79" t="s">
        <v>331</v>
      </c>
      <c r="C79" t="s">
        <v>12</v>
      </c>
      <c r="D79" t="s">
        <v>332</v>
      </c>
      <c r="E79" t="s">
        <v>53</v>
      </c>
      <c r="F79">
        <v>0</v>
      </c>
      <c r="G79">
        <v>44</v>
      </c>
      <c r="H79" s="1">
        <v>0.15</v>
      </c>
      <c r="I79" t="s">
        <v>21</v>
      </c>
      <c r="J79" t="s">
        <v>333</v>
      </c>
    </row>
    <row r="80" spans="1:10">
      <c r="A80" t="s">
        <v>334</v>
      </c>
      <c r="B80" t="s">
        <v>335</v>
      </c>
      <c r="C80" t="s">
        <v>19</v>
      </c>
      <c r="D80" t="s">
        <v>336</v>
      </c>
      <c r="E80" t="s">
        <v>14</v>
      </c>
      <c r="F80">
        <v>9100</v>
      </c>
      <c r="G80">
        <v>0</v>
      </c>
      <c r="H80" s="1">
        <v>0.25</v>
      </c>
      <c r="I80" t="s">
        <v>27</v>
      </c>
      <c r="J80" t="s">
        <v>337</v>
      </c>
    </row>
    <row r="81" spans="1:10">
      <c r="A81" t="s">
        <v>338</v>
      </c>
      <c r="B81" t="s">
        <v>339</v>
      </c>
      <c r="C81" t="s">
        <v>25</v>
      </c>
      <c r="D81" t="s">
        <v>340</v>
      </c>
      <c r="E81" t="s">
        <v>53</v>
      </c>
      <c r="F81">
        <v>0</v>
      </c>
      <c r="G81">
        <v>45</v>
      </c>
      <c r="H81" s="1">
        <v>0.15</v>
      </c>
      <c r="I81" t="s">
        <v>33</v>
      </c>
      <c r="J81" t="s">
        <v>341</v>
      </c>
    </row>
    <row r="82" spans="1:10">
      <c r="A82" t="s">
        <v>342</v>
      </c>
      <c r="B82" t="s">
        <v>343</v>
      </c>
      <c r="C82" t="s">
        <v>31</v>
      </c>
      <c r="D82" t="s">
        <v>344</v>
      </c>
      <c r="E82" t="s">
        <v>14</v>
      </c>
      <c r="F82">
        <v>8700</v>
      </c>
      <c r="G82">
        <v>0</v>
      </c>
      <c r="H82" s="1">
        <v>0.25</v>
      </c>
      <c r="I82" t="s">
        <v>15</v>
      </c>
      <c r="J82" t="s">
        <v>345</v>
      </c>
    </row>
    <row r="83" spans="1:10">
      <c r="A83" t="s">
        <v>346</v>
      </c>
      <c r="B83" t="s">
        <v>347</v>
      </c>
      <c r="C83" t="s">
        <v>37</v>
      </c>
      <c r="D83" t="s">
        <v>348</v>
      </c>
      <c r="E83" t="s">
        <v>14</v>
      </c>
      <c r="F83">
        <v>11000</v>
      </c>
      <c r="G83">
        <v>0</v>
      </c>
      <c r="H83" s="1">
        <v>0.25</v>
      </c>
      <c r="I83" t="s">
        <v>21</v>
      </c>
      <c r="J83" t="s">
        <v>349</v>
      </c>
    </row>
    <row r="84" spans="1:10">
      <c r="A84" t="s">
        <v>350</v>
      </c>
      <c r="B84" t="s">
        <v>351</v>
      </c>
      <c r="C84" t="s">
        <v>42</v>
      </c>
      <c r="D84" t="s">
        <v>352</v>
      </c>
      <c r="E84" t="s">
        <v>14</v>
      </c>
      <c r="F84">
        <v>8900</v>
      </c>
      <c r="G84">
        <v>0</v>
      </c>
      <c r="H84" s="1">
        <v>0.25</v>
      </c>
      <c r="I84" t="s">
        <v>27</v>
      </c>
      <c r="J84" t="s">
        <v>353</v>
      </c>
    </row>
    <row r="85" spans="1:10">
      <c r="A85" t="s">
        <v>354</v>
      </c>
      <c r="B85" t="s">
        <v>355</v>
      </c>
      <c r="C85" t="s">
        <v>47</v>
      </c>
      <c r="D85" t="s">
        <v>356</v>
      </c>
      <c r="E85" t="s">
        <v>14</v>
      </c>
      <c r="F85">
        <v>7500</v>
      </c>
      <c r="G85">
        <v>0</v>
      </c>
      <c r="H85" s="1">
        <v>0.2</v>
      </c>
      <c r="I85" t="s">
        <v>33</v>
      </c>
      <c r="J85" t="s">
        <v>357</v>
      </c>
    </row>
    <row r="86" spans="1:10">
      <c r="A86" t="s">
        <v>358</v>
      </c>
      <c r="B86" t="s">
        <v>359</v>
      </c>
      <c r="C86" t="s">
        <v>12</v>
      </c>
      <c r="D86" t="s">
        <v>360</v>
      </c>
      <c r="E86" t="s">
        <v>14</v>
      </c>
      <c r="F86">
        <v>8800</v>
      </c>
      <c r="G86">
        <v>0</v>
      </c>
      <c r="H86" s="1">
        <v>0.25</v>
      </c>
      <c r="I86" t="s">
        <v>15</v>
      </c>
      <c r="J86" t="s">
        <v>361</v>
      </c>
    </row>
    <row r="87" spans="1:10">
      <c r="A87" t="s">
        <v>362</v>
      </c>
      <c r="B87" t="s">
        <v>363</v>
      </c>
      <c r="C87" t="s">
        <v>19</v>
      </c>
      <c r="D87" t="s">
        <v>364</v>
      </c>
      <c r="E87" t="s">
        <v>14</v>
      </c>
      <c r="F87">
        <v>7000</v>
      </c>
      <c r="G87">
        <v>0</v>
      </c>
      <c r="H87" s="1">
        <v>0.18</v>
      </c>
      <c r="I87" t="s">
        <v>21</v>
      </c>
      <c r="J87" t="s">
        <v>365</v>
      </c>
    </row>
    <row r="88" spans="1:10">
      <c r="A88" t="s">
        <v>366</v>
      </c>
      <c r="B88" t="s">
        <v>367</v>
      </c>
      <c r="C88" t="s">
        <v>25</v>
      </c>
      <c r="D88" t="s">
        <v>368</v>
      </c>
      <c r="E88" t="s">
        <v>14</v>
      </c>
      <c r="F88">
        <v>4800</v>
      </c>
      <c r="G88">
        <v>0</v>
      </c>
      <c r="H88" s="1">
        <v>0.12</v>
      </c>
      <c r="I88" t="s">
        <v>27</v>
      </c>
      <c r="J88" t="s">
        <v>369</v>
      </c>
    </row>
    <row r="89" spans="1:10">
      <c r="A89" t="s">
        <v>370</v>
      </c>
      <c r="B89" t="s">
        <v>371</v>
      </c>
      <c r="C89" t="s">
        <v>31</v>
      </c>
      <c r="D89" t="s">
        <v>372</v>
      </c>
      <c r="E89" t="s">
        <v>14</v>
      </c>
      <c r="F89">
        <v>6800</v>
      </c>
      <c r="G89">
        <v>0</v>
      </c>
      <c r="H89" s="1">
        <v>0.18</v>
      </c>
      <c r="I89" t="s">
        <v>33</v>
      </c>
      <c r="J89" t="s">
        <v>373</v>
      </c>
    </row>
    <row r="90" spans="1:10">
      <c r="A90" t="s">
        <v>374</v>
      </c>
      <c r="B90" t="s">
        <v>375</v>
      </c>
      <c r="C90" t="s">
        <v>37</v>
      </c>
      <c r="D90" t="s">
        <v>376</v>
      </c>
      <c r="E90" t="s">
        <v>14</v>
      </c>
      <c r="F90">
        <v>7600</v>
      </c>
      <c r="G90">
        <v>0</v>
      </c>
      <c r="H90" s="1">
        <v>0.2</v>
      </c>
      <c r="I90" t="s">
        <v>15</v>
      </c>
      <c r="J90" t="s">
        <v>377</v>
      </c>
    </row>
    <row r="91" spans="1:10">
      <c r="A91" t="s">
        <v>378</v>
      </c>
      <c r="B91" t="s">
        <v>379</v>
      </c>
      <c r="C91" t="s">
        <v>42</v>
      </c>
      <c r="D91" t="s">
        <v>380</v>
      </c>
      <c r="E91" t="s">
        <v>14</v>
      </c>
      <c r="F91">
        <v>4600</v>
      </c>
      <c r="G91">
        <v>0</v>
      </c>
      <c r="H91" s="1">
        <v>0.1</v>
      </c>
      <c r="I91" t="s">
        <v>21</v>
      </c>
      <c r="J91" t="s">
        <v>381</v>
      </c>
    </row>
    <row r="92" spans="1:10">
      <c r="A92" t="s">
        <v>382</v>
      </c>
      <c r="B92" t="s">
        <v>383</v>
      </c>
      <c r="C92" t="s">
        <v>47</v>
      </c>
      <c r="D92" t="s">
        <v>384</v>
      </c>
      <c r="E92" t="s">
        <v>14</v>
      </c>
      <c r="F92">
        <v>8000</v>
      </c>
      <c r="G92">
        <v>0</v>
      </c>
      <c r="H92" s="1">
        <v>0.22</v>
      </c>
      <c r="I92" t="s">
        <v>27</v>
      </c>
      <c r="J92" t="s">
        <v>385</v>
      </c>
    </row>
    <row r="93" spans="1:10">
      <c r="A93" t="s">
        <v>386</v>
      </c>
      <c r="B93" t="s">
        <v>387</v>
      </c>
      <c r="C93" t="s">
        <v>12</v>
      </c>
      <c r="D93" t="s">
        <v>388</v>
      </c>
      <c r="E93" t="s">
        <v>14</v>
      </c>
      <c r="F93">
        <v>9500</v>
      </c>
      <c r="G93">
        <v>0</v>
      </c>
      <c r="H93" s="1">
        <v>0.25</v>
      </c>
      <c r="I93" t="s">
        <v>33</v>
      </c>
      <c r="J93" t="s">
        <v>389</v>
      </c>
    </row>
    <row r="94" spans="1:10">
      <c r="A94" t="s">
        <v>390</v>
      </c>
      <c r="B94" t="s">
        <v>391</v>
      </c>
      <c r="C94" t="s">
        <v>19</v>
      </c>
      <c r="D94" t="s">
        <v>392</v>
      </c>
      <c r="E94" t="s">
        <v>14</v>
      </c>
      <c r="F94">
        <v>5800</v>
      </c>
      <c r="G94">
        <v>0</v>
      </c>
      <c r="H94" s="1">
        <v>0.15</v>
      </c>
      <c r="I94" t="s">
        <v>15</v>
      </c>
      <c r="J94" t="s">
        <v>393</v>
      </c>
    </row>
    <row r="95" spans="1:10">
      <c r="A95" t="s">
        <v>394</v>
      </c>
      <c r="B95" t="s">
        <v>395</v>
      </c>
      <c r="C95" t="s">
        <v>25</v>
      </c>
      <c r="D95" t="s">
        <v>396</v>
      </c>
      <c r="E95" t="s">
        <v>14</v>
      </c>
      <c r="F95">
        <v>5600</v>
      </c>
      <c r="G95">
        <v>0</v>
      </c>
      <c r="H95" s="1">
        <v>0.15</v>
      </c>
      <c r="I95" t="s">
        <v>21</v>
      </c>
      <c r="J95" t="s">
        <v>106</v>
      </c>
    </row>
    <row r="96" spans="1:10">
      <c r="A96" t="s">
        <v>397</v>
      </c>
      <c r="B96" t="s">
        <v>398</v>
      </c>
      <c r="C96" t="s">
        <v>31</v>
      </c>
      <c r="D96" t="s">
        <v>399</v>
      </c>
      <c r="E96" t="s">
        <v>14</v>
      </c>
      <c r="F96">
        <v>7700</v>
      </c>
      <c r="G96">
        <v>0</v>
      </c>
      <c r="H96" s="1">
        <v>0.2</v>
      </c>
      <c r="I96" t="s">
        <v>27</v>
      </c>
      <c r="J96" t="s">
        <v>28</v>
      </c>
    </row>
    <row r="97" spans="1:10">
      <c r="A97" t="s">
        <v>400</v>
      </c>
      <c r="B97" t="s">
        <v>401</v>
      </c>
      <c r="C97" t="s">
        <v>37</v>
      </c>
      <c r="D97" t="s">
        <v>402</v>
      </c>
      <c r="E97" t="s">
        <v>53</v>
      </c>
      <c r="F97">
        <v>0</v>
      </c>
      <c r="G97">
        <v>32</v>
      </c>
      <c r="H97" s="1">
        <v>0.1</v>
      </c>
      <c r="I97" t="s">
        <v>33</v>
      </c>
      <c r="J97" t="s">
        <v>253</v>
      </c>
    </row>
    <row r="98" spans="1:10">
      <c r="A98" t="s">
        <v>403</v>
      </c>
      <c r="B98" t="s">
        <v>404</v>
      </c>
      <c r="C98" t="s">
        <v>42</v>
      </c>
      <c r="D98" t="s">
        <v>405</v>
      </c>
      <c r="E98" t="s">
        <v>14</v>
      </c>
      <c r="F98">
        <v>7200</v>
      </c>
      <c r="G98">
        <v>0</v>
      </c>
      <c r="H98" s="1">
        <v>0.2</v>
      </c>
      <c r="I98" t="s">
        <v>15</v>
      </c>
      <c r="J98" t="s">
        <v>406</v>
      </c>
    </row>
    <row r="99" spans="1:10">
      <c r="A99" t="s">
        <v>407</v>
      </c>
      <c r="B99" t="s">
        <v>408</v>
      </c>
      <c r="C99" t="s">
        <v>47</v>
      </c>
      <c r="D99" t="s">
        <v>409</v>
      </c>
      <c r="E99" t="s">
        <v>14</v>
      </c>
      <c r="F99">
        <v>5300</v>
      </c>
      <c r="G99">
        <v>0</v>
      </c>
      <c r="H99" s="1">
        <v>0.15</v>
      </c>
      <c r="I99" t="s">
        <v>21</v>
      </c>
      <c r="J99" t="s">
        <v>410</v>
      </c>
    </row>
    <row r="100" spans="1:10">
      <c r="A100" t="s">
        <v>411</v>
      </c>
      <c r="B100" t="s">
        <v>412</v>
      </c>
      <c r="C100" t="s">
        <v>12</v>
      </c>
      <c r="D100" t="s">
        <v>413</v>
      </c>
      <c r="E100" t="s">
        <v>14</v>
      </c>
      <c r="F100">
        <v>8400</v>
      </c>
      <c r="G100">
        <v>0</v>
      </c>
      <c r="H100" s="1">
        <v>0.22</v>
      </c>
      <c r="I100" t="s">
        <v>27</v>
      </c>
      <c r="J100" t="s">
        <v>126</v>
      </c>
    </row>
    <row r="101" spans="1:10">
      <c r="A101" t="s">
        <v>414</v>
      </c>
      <c r="B101" t="s">
        <v>415</v>
      </c>
      <c r="C101" t="s">
        <v>19</v>
      </c>
      <c r="D101" t="s">
        <v>416</v>
      </c>
      <c r="E101" t="s">
        <v>14</v>
      </c>
      <c r="F101">
        <v>6900</v>
      </c>
      <c r="G101">
        <v>0</v>
      </c>
      <c r="H101" s="1">
        <v>0.18</v>
      </c>
      <c r="I101" t="s">
        <v>33</v>
      </c>
      <c r="J101" t="s">
        <v>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CCE4-3AD0-4927-A343-73D064F62720}">
  <dimension ref="A1:AM146"/>
  <sheetViews>
    <sheetView showGridLines="0" zoomScale="70" zoomScaleNormal="38" workbookViewId="0">
      <selection activeCell="AA83" sqref="AA83"/>
    </sheetView>
  </sheetViews>
  <sheetFormatPr defaultRowHeight="14.4"/>
  <cols>
    <col min="1" max="1" width="12.44140625" style="8" bestFit="1" customWidth="1"/>
    <col min="2" max="2" width="18.21875" style="8" bestFit="1" customWidth="1"/>
    <col min="3" max="33" width="8.88671875" style="8"/>
    <col min="34" max="34" width="20.44140625" style="8" bestFit="1" customWidth="1"/>
    <col min="35" max="35" width="12.33203125" style="8" bestFit="1" customWidth="1"/>
    <col min="36" max="36" width="11.5546875" style="8" bestFit="1" customWidth="1"/>
    <col min="37" max="16384" width="8.88671875" style="8"/>
  </cols>
  <sheetData>
    <row r="1" spans="1:36" ht="35.4" customHeight="1">
      <c r="A1" s="11" t="s">
        <v>442</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row>
    <row r="2" spans="1:36" ht="15" customHeight="1"/>
    <row r="3" spans="1:36">
      <c r="A3" s="13" t="s">
        <v>0</v>
      </c>
      <c r="B3" s="13" t="s">
        <v>418</v>
      </c>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4" t="s">
        <v>443</v>
      </c>
      <c r="AI3" s="15" t="s">
        <v>450</v>
      </c>
      <c r="AJ3" s="16" t="s">
        <v>451</v>
      </c>
    </row>
    <row r="4" spans="1:36">
      <c r="A4" s="9" t="s">
        <v>10</v>
      </c>
      <c r="B4" s="9" t="str">
        <f>VLOOKUP(A4, Master_Roster!A$2:B$102, 2, FALSE)</f>
        <v>Alexander Wright</v>
      </c>
      <c r="C4" s="12" t="str">
        <f ca="1">CHOOSE(RANDBETWEEN(1, 3), "✔", " L", "❌")</f>
        <v>❌</v>
      </c>
      <c r="D4" s="12" t="str">
        <f t="shared" ref="D4:AG12" ca="1" si="0">CHOOSE(RANDBETWEEN(1, 3), "✔", " L", "❌")</f>
        <v>❌</v>
      </c>
      <c r="E4" s="12" t="str">
        <f t="shared" ca="1" si="0"/>
        <v>❌</v>
      </c>
      <c r="F4" s="12" t="str">
        <f t="shared" ca="1" si="0"/>
        <v>❌</v>
      </c>
      <c r="G4" s="12" t="str">
        <f t="shared" ca="1" si="0"/>
        <v>❌</v>
      </c>
      <c r="H4" s="12" t="str">
        <f t="shared" ca="1" si="0"/>
        <v>❌</v>
      </c>
      <c r="I4" s="12" t="str">
        <f t="shared" ca="1" si="0"/>
        <v>✔</v>
      </c>
      <c r="J4" s="12" t="str">
        <f t="shared" ca="1" si="0"/>
        <v xml:space="preserve"> L</v>
      </c>
      <c r="K4" s="12" t="str">
        <f t="shared" ca="1" si="0"/>
        <v>✔</v>
      </c>
      <c r="L4" s="12" t="str">
        <f t="shared" ca="1" si="0"/>
        <v xml:space="preserve"> L</v>
      </c>
      <c r="M4" s="12" t="str">
        <f t="shared" ca="1" si="0"/>
        <v>❌</v>
      </c>
      <c r="N4" s="12" t="str">
        <f t="shared" ca="1" si="0"/>
        <v>✔</v>
      </c>
      <c r="O4" s="12" t="str">
        <f t="shared" ca="1" si="0"/>
        <v xml:space="preserve"> L</v>
      </c>
      <c r="P4" s="12" t="str">
        <f t="shared" ca="1" si="0"/>
        <v xml:space="preserve"> L</v>
      </c>
      <c r="Q4" s="12" t="str">
        <f t="shared" ca="1" si="0"/>
        <v>❌</v>
      </c>
      <c r="R4" s="12" t="str">
        <f t="shared" ca="1" si="0"/>
        <v>✔</v>
      </c>
      <c r="S4" s="12" t="str">
        <f t="shared" ca="1" si="0"/>
        <v>✔</v>
      </c>
      <c r="T4" s="12" t="str">
        <f t="shared" ca="1" si="0"/>
        <v>✔</v>
      </c>
      <c r="U4" s="12" t="str">
        <f t="shared" ca="1" si="0"/>
        <v>❌</v>
      </c>
      <c r="V4" s="12" t="str">
        <f t="shared" ca="1" si="0"/>
        <v xml:space="preserve"> L</v>
      </c>
      <c r="W4" s="12" t="str">
        <f t="shared" ca="1" si="0"/>
        <v xml:space="preserve"> L</v>
      </c>
      <c r="X4" s="12" t="str">
        <f t="shared" ca="1" si="0"/>
        <v>❌</v>
      </c>
      <c r="Y4" s="12" t="str">
        <f t="shared" ca="1" si="0"/>
        <v>✔</v>
      </c>
      <c r="Z4" s="12" t="str">
        <f t="shared" ca="1" si="0"/>
        <v>✔</v>
      </c>
      <c r="AA4" s="12" t="str">
        <f t="shared" ca="1" si="0"/>
        <v>❌</v>
      </c>
      <c r="AB4" s="12" t="str">
        <f t="shared" ca="1" si="0"/>
        <v>❌</v>
      </c>
      <c r="AC4" s="12" t="str">
        <f t="shared" ca="1" si="0"/>
        <v>✔</v>
      </c>
      <c r="AD4" s="12" t="str">
        <f t="shared" ca="1" si="0"/>
        <v>❌</v>
      </c>
      <c r="AE4" s="12" t="str">
        <f t="shared" ca="1" si="0"/>
        <v>❌</v>
      </c>
      <c r="AF4" s="12" t="str">
        <f t="shared" ca="1" si="0"/>
        <v>❌</v>
      </c>
      <c r="AG4" s="12" t="str">
        <f t="shared" ca="1" si="0"/>
        <v xml:space="preserve"> L</v>
      </c>
      <c r="AH4" s="9">
        <f ca="1">COUNTIF(C4:AG4, "✔")</f>
        <v>9</v>
      </c>
      <c r="AI4" s="9">
        <f ca="1">COUNTIF(C4:AG4, "❌")</f>
        <v>15</v>
      </c>
      <c r="AJ4" s="9">
        <f ca="1">COUNTIF(C4:AG4, " L")</f>
        <v>7</v>
      </c>
    </row>
    <row r="5" spans="1:36">
      <c r="A5" s="9" t="s">
        <v>17</v>
      </c>
      <c r="B5" s="9" t="str">
        <f>VLOOKUP(A5, Master_Roster!A$2:B$102, 2, FALSE)</f>
        <v>Sophia Martinez</v>
      </c>
      <c r="C5" s="12" t="str">
        <f t="shared" ref="C5:R68" ca="1" si="1">CHOOSE(RANDBETWEEN(1, 3), "✔", " L", "❌")</f>
        <v>❌</v>
      </c>
      <c r="D5" s="12" t="str">
        <f t="shared" ca="1" si="1"/>
        <v>✔</v>
      </c>
      <c r="E5" s="12" t="str">
        <f t="shared" ca="1" si="1"/>
        <v>❌</v>
      </c>
      <c r="F5" s="12" t="str">
        <f t="shared" ca="1" si="1"/>
        <v>❌</v>
      </c>
      <c r="G5" s="12" t="str">
        <f t="shared" ca="1" si="1"/>
        <v>❌</v>
      </c>
      <c r="H5" s="12" t="str">
        <f t="shared" ca="1" si="1"/>
        <v>❌</v>
      </c>
      <c r="I5" s="12" t="str">
        <f t="shared" ca="1" si="1"/>
        <v>✔</v>
      </c>
      <c r="J5" s="12" t="str">
        <f t="shared" ca="1" si="1"/>
        <v xml:space="preserve"> L</v>
      </c>
      <c r="K5" s="12" t="str">
        <f t="shared" ca="1" si="1"/>
        <v>✔</v>
      </c>
      <c r="L5" s="12" t="str">
        <f t="shared" ca="1" si="1"/>
        <v xml:space="preserve"> L</v>
      </c>
      <c r="M5" s="12" t="str">
        <f t="shared" ca="1" si="1"/>
        <v xml:space="preserve"> L</v>
      </c>
      <c r="N5" s="12" t="str">
        <f t="shared" ca="1" si="1"/>
        <v>✔</v>
      </c>
      <c r="O5" s="12" t="str">
        <f t="shared" ca="1" si="1"/>
        <v xml:space="preserve"> L</v>
      </c>
      <c r="P5" s="12" t="str">
        <f t="shared" ca="1" si="1"/>
        <v>❌</v>
      </c>
      <c r="Q5" s="12" t="str">
        <f t="shared" ca="1" si="1"/>
        <v>❌</v>
      </c>
      <c r="R5" s="12" t="str">
        <f t="shared" ca="1" si="1"/>
        <v>✔</v>
      </c>
      <c r="S5" s="12" t="str">
        <f t="shared" ca="1" si="0"/>
        <v>❌</v>
      </c>
      <c r="T5" s="12" t="str">
        <f t="shared" ca="1" si="0"/>
        <v xml:space="preserve"> L</v>
      </c>
      <c r="U5" s="12" t="str">
        <f t="shared" ca="1" si="0"/>
        <v>✔</v>
      </c>
      <c r="V5" s="12" t="str">
        <f t="shared" ca="1" si="0"/>
        <v xml:space="preserve"> L</v>
      </c>
      <c r="W5" s="12" t="str">
        <f t="shared" ca="1" si="0"/>
        <v>✔</v>
      </c>
      <c r="X5" s="12" t="str">
        <f t="shared" ca="1" si="0"/>
        <v>❌</v>
      </c>
      <c r="Y5" s="12" t="str">
        <f t="shared" ca="1" si="0"/>
        <v xml:space="preserve"> L</v>
      </c>
      <c r="Z5" s="12" t="str">
        <f t="shared" ca="1" si="0"/>
        <v>❌</v>
      </c>
      <c r="AA5" s="12" t="str">
        <f t="shared" ca="1" si="0"/>
        <v xml:space="preserve"> L</v>
      </c>
      <c r="AB5" s="12" t="str">
        <f t="shared" ca="1" si="0"/>
        <v>✔</v>
      </c>
      <c r="AC5" s="12" t="str">
        <f t="shared" ca="1" si="0"/>
        <v xml:space="preserve"> L</v>
      </c>
      <c r="AD5" s="12" t="str">
        <f t="shared" ca="1" si="0"/>
        <v>✔</v>
      </c>
      <c r="AE5" s="12" t="str">
        <f t="shared" ca="1" si="0"/>
        <v>❌</v>
      </c>
      <c r="AF5" s="12" t="str">
        <f t="shared" ca="1" si="0"/>
        <v xml:space="preserve"> L</v>
      </c>
      <c r="AG5" s="12" t="str">
        <f t="shared" ca="1" si="0"/>
        <v>✔</v>
      </c>
      <c r="AH5" s="9">
        <f t="shared" ref="AH5:AH68" ca="1" si="2">COUNTIF(C5:AG5, "✔")</f>
        <v>10</v>
      </c>
      <c r="AI5" s="9">
        <f t="shared" ref="AI5:AI68" ca="1" si="3">COUNTIF(C5:AG5, "❌")</f>
        <v>11</v>
      </c>
      <c r="AJ5" s="9">
        <f t="shared" ref="AJ5:AJ68" ca="1" si="4">COUNTIF(C5:AG5, " L")</f>
        <v>10</v>
      </c>
    </row>
    <row r="6" spans="1:36">
      <c r="A6" s="9" t="s">
        <v>23</v>
      </c>
      <c r="B6" s="9" t="str">
        <f>VLOOKUP(A6, Master_Roster!A$2:B$102, 2, FALSE)</f>
        <v>Liam Johnson</v>
      </c>
      <c r="C6" s="12" t="str">
        <f t="shared" ca="1" si="1"/>
        <v>❌</v>
      </c>
      <c r="D6" s="12" t="str">
        <f t="shared" ca="1" si="0"/>
        <v xml:space="preserve"> L</v>
      </c>
      <c r="E6" s="12" t="str">
        <f t="shared" ca="1" si="0"/>
        <v>✔</v>
      </c>
      <c r="F6" s="12" t="str">
        <f t="shared" ca="1" si="0"/>
        <v>❌</v>
      </c>
      <c r="G6" s="12" t="str">
        <f t="shared" ca="1" si="0"/>
        <v>❌</v>
      </c>
      <c r="H6" s="12" t="str">
        <f t="shared" ca="1" si="0"/>
        <v>❌</v>
      </c>
      <c r="I6" s="12" t="str">
        <f t="shared" ca="1" si="0"/>
        <v>✔</v>
      </c>
      <c r="J6" s="12" t="str">
        <f t="shared" ca="1" si="0"/>
        <v xml:space="preserve"> L</v>
      </c>
      <c r="K6" s="12" t="str">
        <f t="shared" ca="1" si="0"/>
        <v>✔</v>
      </c>
      <c r="L6" s="12" t="str">
        <f t="shared" ca="1" si="0"/>
        <v>✔</v>
      </c>
      <c r="M6" s="12" t="str">
        <f t="shared" ca="1" si="0"/>
        <v>✔</v>
      </c>
      <c r="N6" s="12" t="str">
        <f t="shared" ca="1" si="0"/>
        <v>✔</v>
      </c>
      <c r="O6" s="12" t="str">
        <f t="shared" ca="1" si="0"/>
        <v>✔</v>
      </c>
      <c r="P6" s="12" t="str">
        <f t="shared" ca="1" si="0"/>
        <v xml:space="preserve"> L</v>
      </c>
      <c r="Q6" s="12" t="str">
        <f t="shared" ca="1" si="0"/>
        <v>❌</v>
      </c>
      <c r="R6" s="12" t="str">
        <f t="shared" ca="1" si="0"/>
        <v xml:space="preserve"> L</v>
      </c>
      <c r="S6" s="12" t="str">
        <f t="shared" ca="1" si="0"/>
        <v>❌</v>
      </c>
      <c r="T6" s="12" t="str">
        <f t="shared" ca="1" si="0"/>
        <v xml:space="preserve"> L</v>
      </c>
      <c r="U6" s="12" t="str">
        <f t="shared" ca="1" si="0"/>
        <v>✔</v>
      </c>
      <c r="V6" s="12" t="str">
        <f t="shared" ca="1" si="0"/>
        <v>❌</v>
      </c>
      <c r="W6" s="12" t="str">
        <f t="shared" ca="1" si="0"/>
        <v>❌</v>
      </c>
      <c r="X6" s="12" t="str">
        <f t="shared" ca="1" si="0"/>
        <v xml:space="preserve"> L</v>
      </c>
      <c r="Y6" s="12" t="str">
        <f t="shared" ca="1" si="0"/>
        <v xml:space="preserve"> L</v>
      </c>
      <c r="Z6" s="12" t="str">
        <f t="shared" ca="1" si="0"/>
        <v>❌</v>
      </c>
      <c r="AA6" s="12" t="str">
        <f t="shared" ca="1" si="0"/>
        <v>❌</v>
      </c>
      <c r="AB6" s="12" t="str">
        <f t="shared" ca="1" si="0"/>
        <v>❌</v>
      </c>
      <c r="AC6" s="12" t="str">
        <f t="shared" ca="1" si="0"/>
        <v>❌</v>
      </c>
      <c r="AD6" s="12" t="str">
        <f t="shared" ca="1" si="0"/>
        <v xml:space="preserve"> L</v>
      </c>
      <c r="AE6" s="12" t="str">
        <f t="shared" ca="1" si="0"/>
        <v>✔</v>
      </c>
      <c r="AF6" s="12" t="str">
        <f t="shared" ca="1" si="0"/>
        <v xml:space="preserve"> L</v>
      </c>
      <c r="AG6" s="12" t="str">
        <f t="shared" ca="1" si="0"/>
        <v>✔</v>
      </c>
      <c r="AH6" s="9">
        <f t="shared" ca="1" si="2"/>
        <v>10</v>
      </c>
      <c r="AI6" s="9">
        <f t="shared" ca="1" si="3"/>
        <v>12</v>
      </c>
      <c r="AJ6" s="9">
        <f t="shared" ca="1" si="4"/>
        <v>9</v>
      </c>
    </row>
    <row r="7" spans="1:36">
      <c r="A7" s="9" t="s">
        <v>29</v>
      </c>
      <c r="B7" s="9" t="str">
        <f>VLOOKUP(A7, Master_Roster!A$2:B$102, 2, FALSE)</f>
        <v>Olivia Smith</v>
      </c>
      <c r="C7" s="12" t="str">
        <f t="shared" ca="1" si="1"/>
        <v xml:space="preserve"> L</v>
      </c>
      <c r="D7" s="12" t="str">
        <f t="shared" ca="1" si="0"/>
        <v>❌</v>
      </c>
      <c r="E7" s="12" t="str">
        <f t="shared" ca="1" si="0"/>
        <v>✔</v>
      </c>
      <c r="F7" s="12" t="str">
        <f t="shared" ca="1" si="0"/>
        <v>❌</v>
      </c>
      <c r="G7" s="12" t="str">
        <f t="shared" ca="1" si="0"/>
        <v xml:space="preserve"> L</v>
      </c>
      <c r="H7" s="12" t="str">
        <f t="shared" ca="1" si="0"/>
        <v>✔</v>
      </c>
      <c r="I7" s="12" t="str">
        <f t="shared" ca="1" si="0"/>
        <v>✔</v>
      </c>
      <c r="J7" s="12" t="str">
        <f t="shared" ca="1" si="0"/>
        <v>✔</v>
      </c>
      <c r="K7" s="12" t="str">
        <f t="shared" ca="1" si="0"/>
        <v xml:space="preserve"> L</v>
      </c>
      <c r="L7" s="12" t="str">
        <f t="shared" ca="1" si="0"/>
        <v>✔</v>
      </c>
      <c r="M7" s="12" t="str">
        <f t="shared" ca="1" si="0"/>
        <v>✔</v>
      </c>
      <c r="N7" s="12" t="str">
        <f t="shared" ca="1" si="0"/>
        <v>✔</v>
      </c>
      <c r="O7" s="12" t="str">
        <f t="shared" ca="1" si="0"/>
        <v>❌</v>
      </c>
      <c r="P7" s="12" t="str">
        <f t="shared" ca="1" si="0"/>
        <v>❌</v>
      </c>
      <c r="Q7" s="12" t="str">
        <f t="shared" ca="1" si="0"/>
        <v>✔</v>
      </c>
      <c r="R7" s="12" t="str">
        <f t="shared" ca="1" si="0"/>
        <v>✔</v>
      </c>
      <c r="S7" s="12" t="str">
        <f t="shared" ca="1" si="0"/>
        <v>✔</v>
      </c>
      <c r="T7" s="12" t="str">
        <f t="shared" ca="1" si="0"/>
        <v>✔</v>
      </c>
      <c r="U7" s="12" t="str">
        <f t="shared" ca="1" si="0"/>
        <v xml:space="preserve"> L</v>
      </c>
      <c r="V7" s="12" t="str">
        <f t="shared" ca="1" si="0"/>
        <v>✔</v>
      </c>
      <c r="W7" s="12" t="str">
        <f t="shared" ca="1" si="0"/>
        <v>✔</v>
      </c>
      <c r="X7" s="12" t="str">
        <f t="shared" ca="1" si="0"/>
        <v xml:space="preserve"> L</v>
      </c>
      <c r="Y7" s="12" t="str">
        <f t="shared" ca="1" si="0"/>
        <v xml:space="preserve"> L</v>
      </c>
      <c r="Z7" s="12" t="str">
        <f t="shared" ca="1" si="0"/>
        <v xml:space="preserve"> L</v>
      </c>
      <c r="AA7" s="12" t="str">
        <f t="shared" ca="1" si="0"/>
        <v xml:space="preserve"> L</v>
      </c>
      <c r="AB7" s="12" t="str">
        <f t="shared" ca="1" si="0"/>
        <v>✔</v>
      </c>
      <c r="AC7" s="12" t="str">
        <f t="shared" ca="1" si="0"/>
        <v>✔</v>
      </c>
      <c r="AD7" s="12" t="str">
        <f t="shared" ca="1" si="0"/>
        <v xml:space="preserve"> L</v>
      </c>
      <c r="AE7" s="12" t="str">
        <f t="shared" ca="1" si="0"/>
        <v xml:space="preserve"> L</v>
      </c>
      <c r="AF7" s="12" t="str">
        <f t="shared" ca="1" si="0"/>
        <v>❌</v>
      </c>
      <c r="AG7" s="12" t="str">
        <f t="shared" ca="1" si="0"/>
        <v>❌</v>
      </c>
      <c r="AH7" s="9">
        <f t="shared" ca="1" si="2"/>
        <v>15</v>
      </c>
      <c r="AI7" s="9">
        <f t="shared" ca="1" si="3"/>
        <v>6</v>
      </c>
      <c r="AJ7" s="9">
        <f t="shared" ca="1" si="4"/>
        <v>10</v>
      </c>
    </row>
    <row r="8" spans="1:36">
      <c r="A8" s="9" t="s">
        <v>35</v>
      </c>
      <c r="B8" s="9" t="str">
        <f>VLOOKUP(A8, Master_Roster!A$2:B$102, 2, FALSE)</f>
        <v>Noah Williams</v>
      </c>
      <c r="C8" s="12" t="str">
        <f t="shared" ca="1" si="1"/>
        <v>❌</v>
      </c>
      <c r="D8" s="12" t="str">
        <f t="shared" ca="1" si="0"/>
        <v>✔</v>
      </c>
      <c r="E8" s="12" t="str">
        <f t="shared" ca="1" si="0"/>
        <v>✔</v>
      </c>
      <c r="F8" s="12" t="str">
        <f t="shared" ca="1" si="0"/>
        <v xml:space="preserve"> L</v>
      </c>
      <c r="G8" s="12" t="str">
        <f t="shared" ca="1" si="0"/>
        <v>✔</v>
      </c>
      <c r="H8" s="12" t="str">
        <f t="shared" ca="1" si="0"/>
        <v>❌</v>
      </c>
      <c r="I8" s="12" t="str">
        <f t="shared" ca="1" si="0"/>
        <v xml:space="preserve"> L</v>
      </c>
      <c r="J8" s="12" t="str">
        <f t="shared" ca="1" si="0"/>
        <v>✔</v>
      </c>
      <c r="K8" s="12" t="str">
        <f t="shared" ca="1" si="0"/>
        <v>❌</v>
      </c>
      <c r="L8" s="12" t="str">
        <f t="shared" ca="1" si="0"/>
        <v>✔</v>
      </c>
      <c r="M8" s="12" t="str">
        <f t="shared" ca="1" si="0"/>
        <v>❌</v>
      </c>
      <c r="N8" s="12" t="str">
        <f t="shared" ca="1" si="0"/>
        <v>✔</v>
      </c>
      <c r="O8" s="12" t="str">
        <f t="shared" ca="1" si="0"/>
        <v>✔</v>
      </c>
      <c r="P8" s="12" t="str">
        <f t="shared" ca="1" si="0"/>
        <v xml:space="preserve"> L</v>
      </c>
      <c r="Q8" s="12" t="str">
        <f t="shared" ca="1" si="0"/>
        <v>❌</v>
      </c>
      <c r="R8" s="12" t="str">
        <f t="shared" ca="1" si="0"/>
        <v>✔</v>
      </c>
      <c r="S8" s="12" t="str">
        <f t="shared" ca="1" si="0"/>
        <v>✔</v>
      </c>
      <c r="T8" s="12" t="str">
        <f t="shared" ca="1" si="0"/>
        <v xml:space="preserve"> L</v>
      </c>
      <c r="U8" s="12" t="str">
        <f t="shared" ca="1" si="0"/>
        <v>✔</v>
      </c>
      <c r="V8" s="12" t="str">
        <f t="shared" ca="1" si="0"/>
        <v>❌</v>
      </c>
      <c r="W8" s="12" t="str">
        <f t="shared" ca="1" si="0"/>
        <v>❌</v>
      </c>
      <c r="X8" s="12" t="str">
        <f t="shared" ca="1" si="0"/>
        <v xml:space="preserve"> L</v>
      </c>
      <c r="Y8" s="12" t="str">
        <f t="shared" ca="1" si="0"/>
        <v>❌</v>
      </c>
      <c r="Z8" s="12" t="str">
        <f t="shared" ca="1" si="0"/>
        <v>❌</v>
      </c>
      <c r="AA8" s="12" t="str">
        <f t="shared" ca="1" si="0"/>
        <v>❌</v>
      </c>
      <c r="AB8" s="12" t="str">
        <f t="shared" ca="1" si="0"/>
        <v>✔</v>
      </c>
      <c r="AC8" s="12" t="str">
        <f t="shared" ca="1" si="0"/>
        <v xml:space="preserve"> L</v>
      </c>
      <c r="AD8" s="12" t="str">
        <f t="shared" ca="1" si="0"/>
        <v xml:space="preserve"> L</v>
      </c>
      <c r="AE8" s="12" t="str">
        <f t="shared" ca="1" si="0"/>
        <v>✔</v>
      </c>
      <c r="AF8" s="12" t="str">
        <f t="shared" ca="1" si="0"/>
        <v>❌</v>
      </c>
      <c r="AG8" s="12" t="str">
        <f t="shared" ca="1" si="0"/>
        <v xml:space="preserve"> L</v>
      </c>
      <c r="AH8" s="9">
        <f t="shared" ca="1" si="2"/>
        <v>12</v>
      </c>
      <c r="AI8" s="9">
        <f t="shared" ca="1" si="3"/>
        <v>11</v>
      </c>
      <c r="AJ8" s="9">
        <f t="shared" ca="1" si="4"/>
        <v>8</v>
      </c>
    </row>
    <row r="9" spans="1:36">
      <c r="A9" s="9" t="s">
        <v>40</v>
      </c>
      <c r="B9" s="9" t="str">
        <f>VLOOKUP(A9, Master_Roster!A$2:B$102, 2, FALSE)</f>
        <v>Emma Brown</v>
      </c>
      <c r="C9" s="12" t="str">
        <f t="shared" ca="1" si="1"/>
        <v>❌</v>
      </c>
      <c r="D9" s="12" t="str">
        <f t="shared" ca="1" si="0"/>
        <v xml:space="preserve"> L</v>
      </c>
      <c r="E9" s="12" t="str">
        <f t="shared" ca="1" si="0"/>
        <v>✔</v>
      </c>
      <c r="F9" s="12" t="str">
        <f t="shared" ca="1" si="0"/>
        <v>✔</v>
      </c>
      <c r="G9" s="12" t="str">
        <f t="shared" ca="1" si="0"/>
        <v>✔</v>
      </c>
      <c r="H9" s="12" t="str">
        <f t="shared" ca="1" si="0"/>
        <v xml:space="preserve"> L</v>
      </c>
      <c r="I9" s="12" t="str">
        <f t="shared" ca="1" si="0"/>
        <v>❌</v>
      </c>
      <c r="J9" s="12" t="str">
        <f t="shared" ca="1" si="0"/>
        <v xml:space="preserve"> L</v>
      </c>
      <c r="K9" s="12" t="str">
        <f t="shared" ca="1" si="0"/>
        <v>❌</v>
      </c>
      <c r="L9" s="12" t="str">
        <f t="shared" ca="1" si="0"/>
        <v>✔</v>
      </c>
      <c r="M9" s="12" t="str">
        <f t="shared" ca="1" si="0"/>
        <v>❌</v>
      </c>
      <c r="N9" s="12" t="str">
        <f t="shared" ca="1" si="0"/>
        <v xml:space="preserve"> L</v>
      </c>
      <c r="O9" s="12" t="str">
        <f t="shared" ca="1" si="0"/>
        <v>❌</v>
      </c>
      <c r="P9" s="12" t="str">
        <f t="shared" ca="1" si="0"/>
        <v>❌</v>
      </c>
      <c r="Q9" s="12" t="str">
        <f t="shared" ca="1" si="0"/>
        <v>❌</v>
      </c>
      <c r="R9" s="12" t="str">
        <f t="shared" ca="1" si="0"/>
        <v>❌</v>
      </c>
      <c r="S9" s="12" t="str">
        <f t="shared" ca="1" si="0"/>
        <v xml:space="preserve"> L</v>
      </c>
      <c r="T9" s="12" t="str">
        <f t="shared" ca="1" si="0"/>
        <v>✔</v>
      </c>
      <c r="U9" s="12" t="str">
        <f t="shared" ca="1" si="0"/>
        <v>❌</v>
      </c>
      <c r="V9" s="12" t="str">
        <f t="shared" ca="1" si="0"/>
        <v xml:space="preserve"> L</v>
      </c>
      <c r="W9" s="12" t="str">
        <f t="shared" ca="1" si="0"/>
        <v>✔</v>
      </c>
      <c r="X9" s="12" t="str">
        <f t="shared" ca="1" si="0"/>
        <v>❌</v>
      </c>
      <c r="Y9" s="12" t="str">
        <f t="shared" ca="1" si="0"/>
        <v>❌</v>
      </c>
      <c r="Z9" s="12" t="str">
        <f t="shared" ca="1" si="0"/>
        <v>✔</v>
      </c>
      <c r="AA9" s="12" t="str">
        <f t="shared" ca="1" si="0"/>
        <v>✔</v>
      </c>
      <c r="AB9" s="12" t="str">
        <f t="shared" ca="1" si="0"/>
        <v xml:space="preserve"> L</v>
      </c>
      <c r="AC9" s="12" t="str">
        <f t="shared" ca="1" si="0"/>
        <v xml:space="preserve"> L</v>
      </c>
      <c r="AD9" s="12" t="str">
        <f t="shared" ca="1" si="0"/>
        <v xml:space="preserve"> L</v>
      </c>
      <c r="AE9" s="12" t="str">
        <f t="shared" ca="1" si="0"/>
        <v>✔</v>
      </c>
      <c r="AF9" s="12" t="str">
        <f t="shared" ca="1" si="0"/>
        <v>❌</v>
      </c>
      <c r="AG9" s="12" t="str">
        <f t="shared" ca="1" si="0"/>
        <v>❌</v>
      </c>
      <c r="AH9" s="9">
        <f t="shared" ca="1" si="2"/>
        <v>9</v>
      </c>
      <c r="AI9" s="9">
        <f t="shared" ca="1" si="3"/>
        <v>13</v>
      </c>
      <c r="AJ9" s="9">
        <f t="shared" ca="1" si="4"/>
        <v>9</v>
      </c>
    </row>
    <row r="10" spans="1:36">
      <c r="A10" s="9" t="s">
        <v>45</v>
      </c>
      <c r="B10" s="9" t="str">
        <f>VLOOKUP(A10, Master_Roster!A$2:B$102, 2, FALSE)</f>
        <v>James Jones</v>
      </c>
      <c r="C10" s="12" t="str">
        <f t="shared" ca="1" si="1"/>
        <v>❌</v>
      </c>
      <c r="D10" s="12" t="str">
        <f t="shared" ca="1" si="0"/>
        <v xml:space="preserve"> L</v>
      </c>
      <c r="E10" s="12" t="str">
        <f t="shared" ca="1" si="0"/>
        <v>✔</v>
      </c>
      <c r="F10" s="12" t="str">
        <f t="shared" ca="1" si="0"/>
        <v>❌</v>
      </c>
      <c r="G10" s="12" t="str">
        <f t="shared" ca="1" si="0"/>
        <v>✔</v>
      </c>
      <c r="H10" s="12" t="str">
        <f t="shared" ca="1" si="0"/>
        <v>✔</v>
      </c>
      <c r="I10" s="12" t="str">
        <f t="shared" ca="1" si="0"/>
        <v>✔</v>
      </c>
      <c r="J10" s="12" t="str">
        <f t="shared" ca="1" si="0"/>
        <v>✔</v>
      </c>
      <c r="K10" s="12" t="str">
        <f t="shared" ca="1" si="0"/>
        <v xml:space="preserve"> L</v>
      </c>
      <c r="L10" s="12" t="str">
        <f t="shared" ca="1" si="0"/>
        <v>✔</v>
      </c>
      <c r="M10" s="12" t="str">
        <f t="shared" ca="1" si="0"/>
        <v>✔</v>
      </c>
      <c r="N10" s="12" t="str">
        <f t="shared" ca="1" si="0"/>
        <v xml:space="preserve"> L</v>
      </c>
      <c r="O10" s="12" t="str">
        <f t="shared" ca="1" si="0"/>
        <v xml:space="preserve"> L</v>
      </c>
      <c r="P10" s="12" t="str">
        <f t="shared" ca="1" si="0"/>
        <v>❌</v>
      </c>
      <c r="Q10" s="12" t="str">
        <f t="shared" ca="1" si="0"/>
        <v xml:space="preserve"> L</v>
      </c>
      <c r="R10" s="12" t="str">
        <f t="shared" ca="1" si="0"/>
        <v>❌</v>
      </c>
      <c r="S10" s="12" t="str">
        <f t="shared" ca="1" si="0"/>
        <v>❌</v>
      </c>
      <c r="T10" s="12" t="str">
        <f t="shared" ca="1" si="0"/>
        <v xml:space="preserve"> L</v>
      </c>
      <c r="U10" s="12" t="str">
        <f t="shared" ca="1" si="0"/>
        <v>❌</v>
      </c>
      <c r="V10" s="12" t="str">
        <f t="shared" ca="1" si="0"/>
        <v xml:space="preserve"> L</v>
      </c>
      <c r="W10" s="12" t="str">
        <f t="shared" ca="1" si="0"/>
        <v>❌</v>
      </c>
      <c r="X10" s="12" t="str">
        <f t="shared" ca="1" si="0"/>
        <v>❌</v>
      </c>
      <c r="Y10" s="12" t="str">
        <f t="shared" ca="1" si="0"/>
        <v>✔</v>
      </c>
      <c r="Z10" s="12" t="str">
        <f t="shared" ca="1" si="0"/>
        <v>✔</v>
      </c>
      <c r="AA10" s="12" t="str">
        <f t="shared" ca="1" si="0"/>
        <v>✔</v>
      </c>
      <c r="AB10" s="12" t="str">
        <f t="shared" ca="1" si="0"/>
        <v xml:space="preserve"> L</v>
      </c>
      <c r="AC10" s="12" t="str">
        <f t="shared" ca="1" si="0"/>
        <v>❌</v>
      </c>
      <c r="AD10" s="12" t="str">
        <f t="shared" ca="1" si="0"/>
        <v>❌</v>
      </c>
      <c r="AE10" s="12" t="str">
        <f t="shared" ca="1" si="0"/>
        <v>❌</v>
      </c>
      <c r="AF10" s="12" t="str">
        <f t="shared" ca="1" si="0"/>
        <v>❌</v>
      </c>
      <c r="AG10" s="12" t="str">
        <f t="shared" ca="1" si="0"/>
        <v>❌</v>
      </c>
      <c r="AH10" s="9">
        <f t="shared" ca="1" si="2"/>
        <v>10</v>
      </c>
      <c r="AI10" s="9">
        <f t="shared" ca="1" si="3"/>
        <v>13</v>
      </c>
      <c r="AJ10" s="9">
        <f t="shared" ca="1" si="4"/>
        <v>8</v>
      </c>
    </row>
    <row r="11" spans="1:36">
      <c r="A11" s="9" t="s">
        <v>50</v>
      </c>
      <c r="B11" s="9" t="str">
        <f>VLOOKUP(A11, Master_Roster!A$2:B$102, 2, FALSE)</f>
        <v>Ava Garcia</v>
      </c>
      <c r="C11" s="12" t="str">
        <f t="shared" ca="1" si="1"/>
        <v>✔</v>
      </c>
      <c r="D11" s="12" t="str">
        <f t="shared" ca="1" si="0"/>
        <v>✔</v>
      </c>
      <c r="E11" s="12" t="str">
        <f t="shared" ca="1" si="0"/>
        <v>✔</v>
      </c>
      <c r="F11" s="12" t="str">
        <f t="shared" ca="1" si="0"/>
        <v xml:space="preserve"> L</v>
      </c>
      <c r="G11" s="12" t="str">
        <f t="shared" ca="1" si="0"/>
        <v xml:space="preserve"> L</v>
      </c>
      <c r="H11" s="12" t="str">
        <f t="shared" ca="1" si="0"/>
        <v>✔</v>
      </c>
      <c r="I11" s="12" t="str">
        <f t="shared" ca="1" si="0"/>
        <v>❌</v>
      </c>
      <c r="J11" s="12" t="str">
        <f t="shared" ca="1" si="0"/>
        <v xml:space="preserve"> L</v>
      </c>
      <c r="K11" s="12" t="str">
        <f t="shared" ca="1" si="0"/>
        <v xml:space="preserve"> L</v>
      </c>
      <c r="L11" s="12" t="str">
        <f t="shared" ca="1" si="0"/>
        <v>❌</v>
      </c>
      <c r="M11" s="12" t="str">
        <f t="shared" ca="1" si="0"/>
        <v xml:space="preserve"> L</v>
      </c>
      <c r="N11" s="12" t="str">
        <f t="shared" ca="1" si="0"/>
        <v>❌</v>
      </c>
      <c r="O11" s="12" t="str">
        <f t="shared" ca="1" si="0"/>
        <v xml:space="preserve"> L</v>
      </c>
      <c r="P11" s="12" t="str">
        <f t="shared" ca="1" si="0"/>
        <v>❌</v>
      </c>
      <c r="Q11" s="12" t="str">
        <f t="shared" ca="1" si="0"/>
        <v>❌</v>
      </c>
      <c r="R11" s="12" t="str">
        <f t="shared" ca="1" si="0"/>
        <v xml:space="preserve"> L</v>
      </c>
      <c r="S11" s="12" t="str">
        <f t="shared" ca="1" si="0"/>
        <v>✔</v>
      </c>
      <c r="T11" s="12" t="str">
        <f t="shared" ca="1" si="0"/>
        <v xml:space="preserve"> L</v>
      </c>
      <c r="U11" s="12" t="str">
        <f t="shared" ca="1" si="0"/>
        <v>❌</v>
      </c>
      <c r="V11" s="12" t="str">
        <f t="shared" ca="1" si="0"/>
        <v>✔</v>
      </c>
      <c r="W11" s="12" t="str">
        <f t="shared" ca="1" si="0"/>
        <v>✔</v>
      </c>
      <c r="X11" s="12" t="str">
        <f t="shared" ca="1" si="0"/>
        <v>✔</v>
      </c>
      <c r="Y11" s="12" t="str">
        <f t="shared" ca="1" si="0"/>
        <v>✔</v>
      </c>
      <c r="Z11" s="12" t="str">
        <f t="shared" ca="1" si="0"/>
        <v>✔</v>
      </c>
      <c r="AA11" s="12" t="str">
        <f t="shared" ca="1" si="0"/>
        <v>❌</v>
      </c>
      <c r="AB11" s="12" t="str">
        <f t="shared" ca="1" si="0"/>
        <v xml:space="preserve"> L</v>
      </c>
      <c r="AC11" s="12" t="str">
        <f t="shared" ca="1" si="0"/>
        <v>❌</v>
      </c>
      <c r="AD11" s="12" t="str">
        <f t="shared" ca="1" si="0"/>
        <v>❌</v>
      </c>
      <c r="AE11" s="12" t="str">
        <f t="shared" ca="1" si="0"/>
        <v>✔</v>
      </c>
      <c r="AF11" s="12" t="str">
        <f t="shared" ca="1" si="0"/>
        <v>✔</v>
      </c>
      <c r="AG11" s="12" t="str">
        <f t="shared" ca="1" si="0"/>
        <v>❌</v>
      </c>
      <c r="AH11" s="9">
        <f t="shared" ca="1" si="2"/>
        <v>12</v>
      </c>
      <c r="AI11" s="9">
        <f t="shared" ca="1" si="3"/>
        <v>10</v>
      </c>
      <c r="AJ11" s="9">
        <f t="shared" ca="1" si="4"/>
        <v>9</v>
      </c>
    </row>
    <row r="12" spans="1:36">
      <c r="A12" s="9" t="s">
        <v>55</v>
      </c>
      <c r="B12" s="9" t="str">
        <f>VLOOKUP(A12, Master_Roster!A$2:B$102, 2, FALSE)</f>
        <v>William Miller</v>
      </c>
      <c r="C12" s="12" t="str">
        <f t="shared" ca="1" si="1"/>
        <v>✔</v>
      </c>
      <c r="D12" s="12" t="str">
        <f t="shared" ca="1" si="0"/>
        <v>✔</v>
      </c>
      <c r="E12" s="12" t="str">
        <f t="shared" ca="1" si="0"/>
        <v>✔</v>
      </c>
      <c r="F12" s="12" t="str">
        <f t="shared" ca="1" si="0"/>
        <v xml:space="preserve"> L</v>
      </c>
      <c r="G12" s="12" t="str">
        <f t="shared" ca="1" si="0"/>
        <v xml:space="preserve"> L</v>
      </c>
      <c r="H12" s="12" t="str">
        <f t="shared" ca="1" si="0"/>
        <v xml:space="preserve"> L</v>
      </c>
      <c r="I12" s="12" t="str">
        <f t="shared" ca="1" si="0"/>
        <v>✔</v>
      </c>
      <c r="J12" s="12" t="str">
        <f t="shared" ca="1" si="0"/>
        <v xml:space="preserve"> L</v>
      </c>
      <c r="K12" s="12" t="str">
        <f t="shared" ca="1" si="0"/>
        <v>✔</v>
      </c>
      <c r="L12" s="12" t="str">
        <f t="shared" ca="1" si="0"/>
        <v>✔</v>
      </c>
      <c r="M12" s="12" t="str">
        <f t="shared" ca="1" si="0"/>
        <v>✔</v>
      </c>
      <c r="N12" s="12" t="str">
        <f t="shared" ca="1" si="0"/>
        <v>✔</v>
      </c>
      <c r="O12" s="12" t="str">
        <f t="shared" ca="1" si="0"/>
        <v xml:space="preserve"> L</v>
      </c>
      <c r="P12" s="12" t="str">
        <f t="shared" ca="1" si="0"/>
        <v xml:space="preserve"> L</v>
      </c>
      <c r="Q12" s="12" t="str">
        <f t="shared" ca="1" si="0"/>
        <v>✔</v>
      </c>
      <c r="R12" s="12" t="str">
        <f t="shared" ca="1" si="0"/>
        <v xml:space="preserve"> L</v>
      </c>
      <c r="S12" s="12" t="str">
        <f t="shared" ca="1" si="0"/>
        <v xml:space="preserve"> L</v>
      </c>
      <c r="T12" s="12" t="str">
        <f t="shared" ca="1" si="0"/>
        <v>❌</v>
      </c>
      <c r="U12" s="12" t="str">
        <f t="shared" ca="1" si="0"/>
        <v xml:space="preserve"> L</v>
      </c>
      <c r="V12" s="12" t="str">
        <f t="shared" ca="1" si="0"/>
        <v xml:space="preserve"> L</v>
      </c>
      <c r="W12" s="12" t="str">
        <f t="shared" ca="1" si="0"/>
        <v xml:space="preserve"> L</v>
      </c>
      <c r="X12" s="12" t="str">
        <f t="shared" ca="1" si="0"/>
        <v>✔</v>
      </c>
      <c r="Y12" s="12" t="str">
        <f t="shared" ca="1" si="0"/>
        <v xml:space="preserve"> L</v>
      </c>
      <c r="Z12" s="12" t="str">
        <f t="shared" ca="1" si="0"/>
        <v xml:space="preserve"> L</v>
      </c>
      <c r="AA12" s="12" t="str">
        <f t="shared" ca="1" si="0"/>
        <v xml:space="preserve"> L</v>
      </c>
      <c r="AB12" s="12" t="str">
        <f t="shared" ca="1" si="0"/>
        <v>❌</v>
      </c>
      <c r="AC12" s="12" t="str">
        <f t="shared" ca="1" si="0"/>
        <v>✔</v>
      </c>
      <c r="AD12" s="12" t="str">
        <f t="shared" ca="1" si="0"/>
        <v xml:space="preserve"> L</v>
      </c>
      <c r="AE12" s="12" t="str">
        <f t="shared" ca="1" si="0"/>
        <v>❌</v>
      </c>
      <c r="AF12" s="12" t="str">
        <f t="shared" ca="1" si="0"/>
        <v>✔</v>
      </c>
      <c r="AG12" s="12" t="str">
        <f t="shared" ca="1" si="0"/>
        <v>❌</v>
      </c>
      <c r="AH12" s="9">
        <f t="shared" ca="1" si="2"/>
        <v>12</v>
      </c>
      <c r="AI12" s="9">
        <f t="shared" ca="1" si="3"/>
        <v>4</v>
      </c>
      <c r="AJ12" s="9">
        <f t="shared" ca="1" si="4"/>
        <v>15</v>
      </c>
    </row>
    <row r="13" spans="1:36">
      <c r="A13" s="9" t="s">
        <v>59</v>
      </c>
      <c r="B13" s="9" t="str">
        <f>VLOOKUP(A13, Master_Roster!A$2:B$102, 2, FALSE)</f>
        <v>Isabella Davis</v>
      </c>
      <c r="C13" s="12" t="str">
        <f t="shared" ca="1" si="1"/>
        <v>✔</v>
      </c>
      <c r="D13" s="12" t="str">
        <f t="shared" ref="D13:AG21" ca="1" si="5">CHOOSE(RANDBETWEEN(1, 3), "✔", " L", "❌")</f>
        <v>❌</v>
      </c>
      <c r="E13" s="12" t="str">
        <f t="shared" ca="1" si="5"/>
        <v xml:space="preserve"> L</v>
      </c>
      <c r="F13" s="12" t="str">
        <f t="shared" ca="1" si="5"/>
        <v xml:space="preserve"> L</v>
      </c>
      <c r="G13" s="12" t="str">
        <f t="shared" ca="1" si="5"/>
        <v>✔</v>
      </c>
      <c r="H13" s="12" t="str">
        <f t="shared" ca="1" si="5"/>
        <v xml:space="preserve"> L</v>
      </c>
      <c r="I13" s="12" t="str">
        <f t="shared" ca="1" si="5"/>
        <v>✔</v>
      </c>
      <c r="J13" s="12" t="str">
        <f t="shared" ca="1" si="5"/>
        <v xml:space="preserve"> L</v>
      </c>
      <c r="K13" s="12" t="str">
        <f t="shared" ca="1" si="5"/>
        <v>✔</v>
      </c>
      <c r="L13" s="12" t="str">
        <f t="shared" ca="1" si="5"/>
        <v>❌</v>
      </c>
      <c r="M13" s="12" t="str">
        <f t="shared" ca="1" si="5"/>
        <v xml:space="preserve"> L</v>
      </c>
      <c r="N13" s="12" t="str">
        <f t="shared" ca="1" si="5"/>
        <v>✔</v>
      </c>
      <c r="O13" s="12" t="str">
        <f t="shared" ca="1" si="5"/>
        <v xml:space="preserve"> L</v>
      </c>
      <c r="P13" s="12" t="str">
        <f t="shared" ca="1" si="5"/>
        <v>❌</v>
      </c>
      <c r="Q13" s="12" t="str">
        <f t="shared" ca="1" si="5"/>
        <v>❌</v>
      </c>
      <c r="R13" s="12" t="str">
        <f t="shared" ca="1" si="5"/>
        <v>✔</v>
      </c>
      <c r="S13" s="12" t="str">
        <f t="shared" ca="1" si="5"/>
        <v>❌</v>
      </c>
      <c r="T13" s="12" t="str">
        <f t="shared" ca="1" si="5"/>
        <v>✔</v>
      </c>
      <c r="U13" s="12" t="str">
        <f t="shared" ca="1" si="5"/>
        <v xml:space="preserve"> L</v>
      </c>
      <c r="V13" s="12" t="str">
        <f t="shared" ca="1" si="5"/>
        <v>❌</v>
      </c>
      <c r="W13" s="12" t="str">
        <f t="shared" ca="1" si="5"/>
        <v>❌</v>
      </c>
      <c r="X13" s="12" t="str">
        <f t="shared" ca="1" si="5"/>
        <v xml:space="preserve"> L</v>
      </c>
      <c r="Y13" s="12" t="str">
        <f t="shared" ca="1" si="5"/>
        <v xml:space="preserve"> L</v>
      </c>
      <c r="Z13" s="12" t="str">
        <f t="shared" ca="1" si="5"/>
        <v>❌</v>
      </c>
      <c r="AA13" s="12" t="str">
        <f t="shared" ca="1" si="5"/>
        <v>❌</v>
      </c>
      <c r="AB13" s="12" t="str">
        <f t="shared" ca="1" si="5"/>
        <v xml:space="preserve"> L</v>
      </c>
      <c r="AC13" s="12" t="str">
        <f t="shared" ca="1" si="5"/>
        <v>❌</v>
      </c>
      <c r="AD13" s="12" t="str">
        <f t="shared" ca="1" si="5"/>
        <v xml:space="preserve"> L</v>
      </c>
      <c r="AE13" s="12" t="str">
        <f t="shared" ca="1" si="5"/>
        <v>✔</v>
      </c>
      <c r="AF13" s="12" t="str">
        <f t="shared" ca="1" si="5"/>
        <v xml:space="preserve"> L</v>
      </c>
      <c r="AG13" s="12" t="str">
        <f t="shared" ca="1" si="5"/>
        <v>❌</v>
      </c>
      <c r="AH13" s="9">
        <f t="shared" ca="1" si="2"/>
        <v>8</v>
      </c>
      <c r="AI13" s="9">
        <f t="shared" ca="1" si="3"/>
        <v>11</v>
      </c>
      <c r="AJ13" s="9">
        <f t="shared" ca="1" si="4"/>
        <v>12</v>
      </c>
    </row>
    <row r="14" spans="1:36">
      <c r="A14" s="9" t="s">
        <v>63</v>
      </c>
      <c r="B14" s="9" t="str">
        <f>VLOOKUP(A14, Master_Roster!A$2:B$102, 2, FALSE)</f>
        <v>Logan Rodriguez</v>
      </c>
      <c r="C14" s="12" t="str">
        <f t="shared" ca="1" si="1"/>
        <v xml:space="preserve"> L</v>
      </c>
      <c r="D14" s="12" t="str">
        <f t="shared" ca="1" si="5"/>
        <v>✔</v>
      </c>
      <c r="E14" s="12" t="str">
        <f t="shared" ca="1" si="5"/>
        <v xml:space="preserve"> L</v>
      </c>
      <c r="F14" s="12" t="str">
        <f t="shared" ca="1" si="5"/>
        <v xml:space="preserve"> L</v>
      </c>
      <c r="G14" s="12" t="str">
        <f t="shared" ca="1" si="5"/>
        <v xml:space="preserve"> L</v>
      </c>
      <c r="H14" s="12" t="str">
        <f t="shared" ca="1" si="5"/>
        <v>❌</v>
      </c>
      <c r="I14" s="12" t="str">
        <f t="shared" ca="1" si="5"/>
        <v>✔</v>
      </c>
      <c r="J14" s="12" t="str">
        <f t="shared" ca="1" si="5"/>
        <v xml:space="preserve"> L</v>
      </c>
      <c r="K14" s="12" t="str">
        <f t="shared" ca="1" si="5"/>
        <v xml:space="preserve"> L</v>
      </c>
      <c r="L14" s="12" t="str">
        <f t="shared" ca="1" si="5"/>
        <v>❌</v>
      </c>
      <c r="M14" s="12" t="str">
        <f t="shared" ca="1" si="5"/>
        <v>✔</v>
      </c>
      <c r="N14" s="12" t="str">
        <f t="shared" ca="1" si="5"/>
        <v>✔</v>
      </c>
      <c r="O14" s="12" t="str">
        <f t="shared" ca="1" si="5"/>
        <v>✔</v>
      </c>
      <c r="P14" s="12" t="str">
        <f t="shared" ca="1" si="5"/>
        <v>✔</v>
      </c>
      <c r="Q14" s="12" t="str">
        <f t="shared" ca="1" si="5"/>
        <v>✔</v>
      </c>
      <c r="R14" s="12" t="str">
        <f t="shared" ca="1" si="5"/>
        <v xml:space="preserve"> L</v>
      </c>
      <c r="S14" s="12" t="str">
        <f t="shared" ca="1" si="5"/>
        <v>✔</v>
      </c>
      <c r="T14" s="12" t="str">
        <f t="shared" ca="1" si="5"/>
        <v xml:space="preserve"> L</v>
      </c>
      <c r="U14" s="12" t="str">
        <f t="shared" ca="1" si="5"/>
        <v>❌</v>
      </c>
      <c r="V14" s="12" t="str">
        <f t="shared" ca="1" si="5"/>
        <v>✔</v>
      </c>
      <c r="W14" s="12" t="str">
        <f t="shared" ca="1" si="5"/>
        <v>❌</v>
      </c>
      <c r="X14" s="12" t="str">
        <f t="shared" ca="1" si="5"/>
        <v>✔</v>
      </c>
      <c r="Y14" s="12" t="str">
        <f t="shared" ca="1" si="5"/>
        <v>❌</v>
      </c>
      <c r="Z14" s="12" t="str">
        <f t="shared" ca="1" si="5"/>
        <v xml:space="preserve"> L</v>
      </c>
      <c r="AA14" s="12" t="str">
        <f t="shared" ca="1" si="5"/>
        <v>❌</v>
      </c>
      <c r="AB14" s="12" t="str">
        <f t="shared" ca="1" si="5"/>
        <v xml:space="preserve"> L</v>
      </c>
      <c r="AC14" s="12" t="str">
        <f t="shared" ca="1" si="5"/>
        <v xml:space="preserve"> L</v>
      </c>
      <c r="AD14" s="12" t="str">
        <f t="shared" ca="1" si="5"/>
        <v>✔</v>
      </c>
      <c r="AE14" s="12" t="str">
        <f t="shared" ca="1" si="5"/>
        <v>❌</v>
      </c>
      <c r="AF14" s="12" t="str">
        <f t="shared" ca="1" si="5"/>
        <v xml:space="preserve"> L</v>
      </c>
      <c r="AG14" s="12" t="str">
        <f t="shared" ca="1" si="5"/>
        <v>❌</v>
      </c>
      <c r="AH14" s="9">
        <f t="shared" ca="1" si="2"/>
        <v>11</v>
      </c>
      <c r="AI14" s="9">
        <f t="shared" ca="1" si="3"/>
        <v>8</v>
      </c>
      <c r="AJ14" s="9">
        <f t="shared" ca="1" si="4"/>
        <v>12</v>
      </c>
    </row>
    <row r="15" spans="1:36">
      <c r="A15" s="9" t="s">
        <v>67</v>
      </c>
      <c r="B15" s="9" t="str">
        <f>VLOOKUP(A15, Master_Roster!A$2:B$102, 2, FALSE)</f>
        <v>Mia Martinez</v>
      </c>
      <c r="C15" s="12" t="str">
        <f t="shared" ca="1" si="1"/>
        <v>✔</v>
      </c>
      <c r="D15" s="12" t="str">
        <f t="shared" ca="1" si="5"/>
        <v>❌</v>
      </c>
      <c r="E15" s="12" t="str">
        <f t="shared" ca="1" si="5"/>
        <v>✔</v>
      </c>
      <c r="F15" s="12" t="str">
        <f t="shared" ca="1" si="5"/>
        <v xml:space="preserve"> L</v>
      </c>
      <c r="G15" s="12" t="str">
        <f t="shared" ca="1" si="5"/>
        <v>❌</v>
      </c>
      <c r="H15" s="12" t="str">
        <f t="shared" ca="1" si="5"/>
        <v>✔</v>
      </c>
      <c r="I15" s="12" t="str">
        <f t="shared" ca="1" si="5"/>
        <v>✔</v>
      </c>
      <c r="J15" s="12" t="str">
        <f t="shared" ca="1" si="5"/>
        <v>❌</v>
      </c>
      <c r="K15" s="12" t="str">
        <f t="shared" ca="1" si="5"/>
        <v>❌</v>
      </c>
      <c r="L15" s="12" t="str">
        <f t="shared" ca="1" si="5"/>
        <v xml:space="preserve"> L</v>
      </c>
      <c r="M15" s="12" t="str">
        <f t="shared" ca="1" si="5"/>
        <v xml:space="preserve"> L</v>
      </c>
      <c r="N15" s="12" t="str">
        <f t="shared" ca="1" si="5"/>
        <v>❌</v>
      </c>
      <c r="O15" s="12" t="str">
        <f t="shared" ca="1" si="5"/>
        <v xml:space="preserve"> L</v>
      </c>
      <c r="P15" s="12" t="str">
        <f t="shared" ca="1" si="5"/>
        <v xml:space="preserve"> L</v>
      </c>
      <c r="Q15" s="12" t="str">
        <f t="shared" ca="1" si="5"/>
        <v xml:space="preserve"> L</v>
      </c>
      <c r="R15" s="12" t="str">
        <f t="shared" ca="1" si="5"/>
        <v>❌</v>
      </c>
      <c r="S15" s="12" t="str">
        <f t="shared" ca="1" si="5"/>
        <v xml:space="preserve"> L</v>
      </c>
      <c r="T15" s="12" t="str">
        <f t="shared" ca="1" si="5"/>
        <v xml:space="preserve"> L</v>
      </c>
      <c r="U15" s="12" t="str">
        <f t="shared" ca="1" si="5"/>
        <v>❌</v>
      </c>
      <c r="V15" s="12" t="str">
        <f t="shared" ca="1" si="5"/>
        <v xml:space="preserve"> L</v>
      </c>
      <c r="W15" s="12" t="str">
        <f t="shared" ca="1" si="5"/>
        <v>❌</v>
      </c>
      <c r="X15" s="12" t="str">
        <f t="shared" ca="1" si="5"/>
        <v>✔</v>
      </c>
      <c r="Y15" s="12" t="str">
        <f t="shared" ca="1" si="5"/>
        <v xml:space="preserve"> L</v>
      </c>
      <c r="Z15" s="12" t="str">
        <f t="shared" ca="1" si="5"/>
        <v>✔</v>
      </c>
      <c r="AA15" s="12" t="str">
        <f t="shared" ca="1" si="5"/>
        <v>❌</v>
      </c>
      <c r="AB15" s="12" t="str">
        <f t="shared" ca="1" si="5"/>
        <v xml:space="preserve"> L</v>
      </c>
      <c r="AC15" s="12" t="str">
        <f t="shared" ca="1" si="5"/>
        <v>❌</v>
      </c>
      <c r="AD15" s="12" t="str">
        <f t="shared" ca="1" si="5"/>
        <v xml:space="preserve"> L</v>
      </c>
      <c r="AE15" s="12" t="str">
        <f t="shared" ca="1" si="5"/>
        <v>❌</v>
      </c>
      <c r="AF15" s="12" t="str">
        <f t="shared" ca="1" si="5"/>
        <v>❌</v>
      </c>
      <c r="AG15" s="12" t="str">
        <f t="shared" ca="1" si="5"/>
        <v>❌</v>
      </c>
      <c r="AH15" s="9">
        <f t="shared" ca="1" si="2"/>
        <v>6</v>
      </c>
      <c r="AI15" s="9">
        <f t="shared" ca="1" si="3"/>
        <v>13</v>
      </c>
      <c r="AJ15" s="9">
        <f t="shared" ca="1" si="4"/>
        <v>12</v>
      </c>
    </row>
    <row r="16" spans="1:36">
      <c r="A16" s="9" t="s">
        <v>71</v>
      </c>
      <c r="B16" s="9" t="str">
        <f>VLOOKUP(A16, Master_Roster!A$2:B$102, 2, FALSE)</f>
        <v>Benjamin Hernandez</v>
      </c>
      <c r="C16" s="12" t="str">
        <f t="shared" ca="1" si="1"/>
        <v>❌</v>
      </c>
      <c r="D16" s="12" t="str">
        <f t="shared" ca="1" si="5"/>
        <v xml:space="preserve"> L</v>
      </c>
      <c r="E16" s="12" t="str">
        <f t="shared" ca="1" si="5"/>
        <v>❌</v>
      </c>
      <c r="F16" s="12" t="str">
        <f t="shared" ca="1" si="5"/>
        <v>❌</v>
      </c>
      <c r="G16" s="12" t="str">
        <f t="shared" ca="1" si="5"/>
        <v>❌</v>
      </c>
      <c r="H16" s="12" t="str">
        <f t="shared" ca="1" si="5"/>
        <v>❌</v>
      </c>
      <c r="I16" s="12" t="str">
        <f t="shared" ca="1" si="5"/>
        <v>✔</v>
      </c>
      <c r="J16" s="12" t="str">
        <f t="shared" ca="1" si="5"/>
        <v>❌</v>
      </c>
      <c r="K16" s="12" t="str">
        <f t="shared" ca="1" si="5"/>
        <v xml:space="preserve"> L</v>
      </c>
      <c r="L16" s="12" t="str">
        <f t="shared" ca="1" si="5"/>
        <v>✔</v>
      </c>
      <c r="M16" s="12" t="str">
        <f t="shared" ca="1" si="5"/>
        <v>❌</v>
      </c>
      <c r="N16" s="12" t="str">
        <f t="shared" ca="1" si="5"/>
        <v xml:space="preserve"> L</v>
      </c>
      <c r="O16" s="12" t="str">
        <f t="shared" ca="1" si="5"/>
        <v>❌</v>
      </c>
      <c r="P16" s="12" t="str">
        <f t="shared" ca="1" si="5"/>
        <v xml:space="preserve"> L</v>
      </c>
      <c r="Q16" s="12" t="str">
        <f t="shared" ca="1" si="5"/>
        <v>❌</v>
      </c>
      <c r="R16" s="12" t="str">
        <f t="shared" ca="1" si="5"/>
        <v>✔</v>
      </c>
      <c r="S16" s="12" t="str">
        <f t="shared" ca="1" si="5"/>
        <v>❌</v>
      </c>
      <c r="T16" s="12" t="str">
        <f t="shared" ca="1" si="5"/>
        <v>✔</v>
      </c>
      <c r="U16" s="12" t="str">
        <f t="shared" ca="1" si="5"/>
        <v xml:space="preserve"> L</v>
      </c>
      <c r="V16" s="12" t="str">
        <f t="shared" ca="1" si="5"/>
        <v xml:space="preserve"> L</v>
      </c>
      <c r="W16" s="12" t="str">
        <f t="shared" ca="1" si="5"/>
        <v xml:space="preserve"> L</v>
      </c>
      <c r="X16" s="12" t="str">
        <f t="shared" ca="1" si="5"/>
        <v xml:space="preserve"> L</v>
      </c>
      <c r="Y16" s="12" t="str">
        <f t="shared" ca="1" si="5"/>
        <v xml:space="preserve"> L</v>
      </c>
      <c r="Z16" s="12" t="str">
        <f t="shared" ca="1" si="5"/>
        <v>❌</v>
      </c>
      <c r="AA16" s="12" t="str">
        <f t="shared" ca="1" si="5"/>
        <v>❌</v>
      </c>
      <c r="AB16" s="12" t="str">
        <f t="shared" ca="1" si="5"/>
        <v xml:space="preserve"> L</v>
      </c>
      <c r="AC16" s="12" t="str">
        <f t="shared" ca="1" si="5"/>
        <v xml:space="preserve"> L</v>
      </c>
      <c r="AD16" s="12" t="str">
        <f t="shared" ca="1" si="5"/>
        <v>❌</v>
      </c>
      <c r="AE16" s="12" t="str">
        <f t="shared" ca="1" si="5"/>
        <v xml:space="preserve"> L</v>
      </c>
      <c r="AF16" s="12" t="str">
        <f t="shared" ca="1" si="5"/>
        <v xml:space="preserve"> L</v>
      </c>
      <c r="AG16" s="12" t="str">
        <f t="shared" ca="1" si="5"/>
        <v xml:space="preserve"> L</v>
      </c>
      <c r="AH16" s="9">
        <f t="shared" ca="1" si="2"/>
        <v>4</v>
      </c>
      <c r="AI16" s="9">
        <f t="shared" ca="1" si="3"/>
        <v>13</v>
      </c>
      <c r="AJ16" s="9">
        <f t="shared" ca="1" si="4"/>
        <v>14</v>
      </c>
    </row>
    <row r="17" spans="1:36">
      <c r="A17" s="9" t="s">
        <v>75</v>
      </c>
      <c r="B17" s="9" t="str">
        <f>VLOOKUP(A17, Master_Roster!A$2:B$102, 2, FALSE)</f>
        <v>Harper Lopez</v>
      </c>
      <c r="C17" s="12" t="str">
        <f t="shared" ca="1" si="1"/>
        <v xml:space="preserve"> L</v>
      </c>
      <c r="D17" s="12" t="str">
        <f t="shared" ca="1" si="5"/>
        <v>✔</v>
      </c>
      <c r="E17" s="12" t="str">
        <f t="shared" ca="1" si="5"/>
        <v>✔</v>
      </c>
      <c r="F17" s="12" t="str">
        <f t="shared" ca="1" si="5"/>
        <v xml:space="preserve"> L</v>
      </c>
      <c r="G17" s="12" t="str">
        <f t="shared" ca="1" si="5"/>
        <v>❌</v>
      </c>
      <c r="H17" s="12" t="str">
        <f t="shared" ca="1" si="5"/>
        <v xml:space="preserve"> L</v>
      </c>
      <c r="I17" s="12" t="str">
        <f t="shared" ca="1" si="5"/>
        <v>❌</v>
      </c>
      <c r="J17" s="12" t="str">
        <f t="shared" ca="1" si="5"/>
        <v>❌</v>
      </c>
      <c r="K17" s="12" t="str">
        <f t="shared" ca="1" si="5"/>
        <v>❌</v>
      </c>
      <c r="L17" s="12" t="str">
        <f t="shared" ca="1" si="5"/>
        <v>❌</v>
      </c>
      <c r="M17" s="12" t="str">
        <f t="shared" ca="1" si="5"/>
        <v xml:space="preserve"> L</v>
      </c>
      <c r="N17" s="12" t="str">
        <f t="shared" ca="1" si="5"/>
        <v>✔</v>
      </c>
      <c r="O17" s="12" t="str">
        <f t="shared" ca="1" si="5"/>
        <v xml:space="preserve"> L</v>
      </c>
      <c r="P17" s="12" t="str">
        <f t="shared" ca="1" si="5"/>
        <v>✔</v>
      </c>
      <c r="Q17" s="12" t="str">
        <f t="shared" ca="1" si="5"/>
        <v xml:space="preserve"> L</v>
      </c>
      <c r="R17" s="12" t="str">
        <f t="shared" ca="1" si="5"/>
        <v>✔</v>
      </c>
      <c r="S17" s="12" t="str">
        <f t="shared" ca="1" si="5"/>
        <v>✔</v>
      </c>
      <c r="T17" s="12" t="str">
        <f t="shared" ca="1" si="5"/>
        <v xml:space="preserve"> L</v>
      </c>
      <c r="U17" s="12" t="str">
        <f t="shared" ca="1" si="5"/>
        <v xml:space="preserve"> L</v>
      </c>
      <c r="V17" s="12" t="str">
        <f t="shared" ca="1" si="5"/>
        <v>✔</v>
      </c>
      <c r="W17" s="12" t="str">
        <f t="shared" ca="1" si="5"/>
        <v>✔</v>
      </c>
      <c r="X17" s="12" t="str">
        <f t="shared" ca="1" si="5"/>
        <v>✔</v>
      </c>
      <c r="Y17" s="12" t="str">
        <f t="shared" ca="1" si="5"/>
        <v>❌</v>
      </c>
      <c r="Z17" s="12" t="str">
        <f t="shared" ca="1" si="5"/>
        <v>❌</v>
      </c>
      <c r="AA17" s="12" t="str">
        <f t="shared" ca="1" si="5"/>
        <v xml:space="preserve"> L</v>
      </c>
      <c r="AB17" s="12" t="str">
        <f t="shared" ca="1" si="5"/>
        <v>❌</v>
      </c>
      <c r="AC17" s="12" t="str">
        <f t="shared" ca="1" si="5"/>
        <v xml:space="preserve"> L</v>
      </c>
      <c r="AD17" s="12" t="str">
        <f t="shared" ca="1" si="5"/>
        <v>✔</v>
      </c>
      <c r="AE17" s="12" t="str">
        <f t="shared" ca="1" si="5"/>
        <v>✔</v>
      </c>
      <c r="AF17" s="12" t="str">
        <f t="shared" ca="1" si="5"/>
        <v>❌</v>
      </c>
      <c r="AG17" s="12" t="str">
        <f t="shared" ca="1" si="5"/>
        <v>❌</v>
      </c>
      <c r="AH17" s="9">
        <f t="shared" ca="1" si="2"/>
        <v>11</v>
      </c>
      <c r="AI17" s="9">
        <f t="shared" ca="1" si="3"/>
        <v>10</v>
      </c>
      <c r="AJ17" s="9">
        <f t="shared" ca="1" si="4"/>
        <v>10</v>
      </c>
    </row>
    <row r="18" spans="1:36">
      <c r="A18" s="9" t="s">
        <v>79</v>
      </c>
      <c r="B18" s="9" t="str">
        <f>VLOOKUP(A18, Master_Roster!A$2:B$102, 2, FALSE)</f>
        <v>Elijah Gonzalez</v>
      </c>
      <c r="C18" s="12" t="str">
        <f t="shared" ca="1" si="1"/>
        <v xml:space="preserve"> L</v>
      </c>
      <c r="D18" s="12" t="str">
        <f t="shared" ca="1" si="5"/>
        <v>✔</v>
      </c>
      <c r="E18" s="12" t="str">
        <f t="shared" ca="1" si="5"/>
        <v xml:space="preserve"> L</v>
      </c>
      <c r="F18" s="12" t="str">
        <f t="shared" ca="1" si="5"/>
        <v>✔</v>
      </c>
      <c r="G18" s="12" t="str">
        <f t="shared" ca="1" si="5"/>
        <v>✔</v>
      </c>
      <c r="H18" s="12" t="str">
        <f t="shared" ca="1" si="5"/>
        <v>❌</v>
      </c>
      <c r="I18" s="12" t="str">
        <f t="shared" ca="1" si="5"/>
        <v xml:space="preserve"> L</v>
      </c>
      <c r="J18" s="12" t="str">
        <f t="shared" ca="1" si="5"/>
        <v xml:space="preserve"> L</v>
      </c>
      <c r="K18" s="12" t="str">
        <f t="shared" ca="1" si="5"/>
        <v>✔</v>
      </c>
      <c r="L18" s="12" t="str">
        <f t="shared" ca="1" si="5"/>
        <v>❌</v>
      </c>
      <c r="M18" s="12" t="str">
        <f t="shared" ca="1" si="5"/>
        <v>✔</v>
      </c>
      <c r="N18" s="12" t="str">
        <f t="shared" ca="1" si="5"/>
        <v>✔</v>
      </c>
      <c r="O18" s="12" t="str">
        <f t="shared" ca="1" si="5"/>
        <v>❌</v>
      </c>
      <c r="P18" s="12" t="str">
        <f t="shared" ca="1" si="5"/>
        <v>✔</v>
      </c>
      <c r="Q18" s="12" t="str">
        <f t="shared" ca="1" si="5"/>
        <v>✔</v>
      </c>
      <c r="R18" s="12" t="str">
        <f t="shared" ca="1" si="5"/>
        <v xml:space="preserve"> L</v>
      </c>
      <c r="S18" s="12" t="str">
        <f t="shared" ca="1" si="5"/>
        <v xml:space="preserve"> L</v>
      </c>
      <c r="T18" s="12" t="str">
        <f t="shared" ca="1" si="5"/>
        <v>❌</v>
      </c>
      <c r="U18" s="12" t="str">
        <f t="shared" ca="1" si="5"/>
        <v>❌</v>
      </c>
      <c r="V18" s="12" t="str">
        <f t="shared" ca="1" si="5"/>
        <v>❌</v>
      </c>
      <c r="W18" s="12" t="str">
        <f t="shared" ca="1" si="5"/>
        <v>❌</v>
      </c>
      <c r="X18" s="12" t="str">
        <f t="shared" ca="1" si="5"/>
        <v>❌</v>
      </c>
      <c r="Y18" s="12" t="str">
        <f t="shared" ca="1" si="5"/>
        <v>❌</v>
      </c>
      <c r="Z18" s="12" t="str">
        <f t="shared" ca="1" si="5"/>
        <v>✔</v>
      </c>
      <c r="AA18" s="12" t="str">
        <f t="shared" ca="1" si="5"/>
        <v xml:space="preserve"> L</v>
      </c>
      <c r="AB18" s="12" t="str">
        <f t="shared" ca="1" si="5"/>
        <v>❌</v>
      </c>
      <c r="AC18" s="12" t="str">
        <f t="shared" ca="1" si="5"/>
        <v>✔</v>
      </c>
      <c r="AD18" s="12" t="str">
        <f t="shared" ca="1" si="5"/>
        <v xml:space="preserve"> L</v>
      </c>
      <c r="AE18" s="12" t="str">
        <f t="shared" ca="1" si="5"/>
        <v>✔</v>
      </c>
      <c r="AF18" s="12" t="str">
        <f t="shared" ca="1" si="5"/>
        <v>❌</v>
      </c>
      <c r="AG18" s="12" t="str">
        <f t="shared" ca="1" si="5"/>
        <v>❌</v>
      </c>
      <c r="AH18" s="9">
        <f t="shared" ca="1" si="2"/>
        <v>11</v>
      </c>
      <c r="AI18" s="9">
        <f t="shared" ca="1" si="3"/>
        <v>12</v>
      </c>
      <c r="AJ18" s="9">
        <f t="shared" ca="1" si="4"/>
        <v>8</v>
      </c>
    </row>
    <row r="19" spans="1:36">
      <c r="A19" s="9" t="s">
        <v>83</v>
      </c>
      <c r="B19" s="9" t="str">
        <f>VLOOKUP(A19, Master_Roster!A$2:B$102, 2, FALSE)</f>
        <v>Evelyn Wilson</v>
      </c>
      <c r="C19" s="12" t="str">
        <f t="shared" ca="1" si="1"/>
        <v>✔</v>
      </c>
      <c r="D19" s="12" t="str">
        <f t="shared" ca="1" si="5"/>
        <v>✔</v>
      </c>
      <c r="E19" s="12" t="str">
        <f t="shared" ca="1" si="5"/>
        <v xml:space="preserve"> L</v>
      </c>
      <c r="F19" s="12" t="str">
        <f t="shared" ca="1" si="5"/>
        <v>✔</v>
      </c>
      <c r="G19" s="12" t="str">
        <f t="shared" ca="1" si="5"/>
        <v>✔</v>
      </c>
      <c r="H19" s="12" t="str">
        <f t="shared" ca="1" si="5"/>
        <v xml:space="preserve"> L</v>
      </c>
      <c r="I19" s="12" t="str">
        <f t="shared" ca="1" si="5"/>
        <v>❌</v>
      </c>
      <c r="J19" s="12" t="str">
        <f t="shared" ca="1" si="5"/>
        <v xml:space="preserve"> L</v>
      </c>
      <c r="K19" s="12" t="str">
        <f t="shared" ca="1" si="5"/>
        <v xml:space="preserve"> L</v>
      </c>
      <c r="L19" s="12" t="str">
        <f t="shared" ca="1" si="5"/>
        <v xml:space="preserve"> L</v>
      </c>
      <c r="M19" s="12" t="str">
        <f t="shared" ca="1" si="5"/>
        <v xml:space="preserve"> L</v>
      </c>
      <c r="N19" s="12" t="str">
        <f t="shared" ca="1" si="5"/>
        <v>✔</v>
      </c>
      <c r="O19" s="12" t="str">
        <f t="shared" ca="1" si="5"/>
        <v>❌</v>
      </c>
      <c r="P19" s="12" t="str">
        <f t="shared" ca="1" si="5"/>
        <v>❌</v>
      </c>
      <c r="Q19" s="12" t="str">
        <f t="shared" ca="1" si="5"/>
        <v>✔</v>
      </c>
      <c r="R19" s="12" t="str">
        <f t="shared" ca="1" si="5"/>
        <v xml:space="preserve"> L</v>
      </c>
      <c r="S19" s="12" t="str">
        <f t="shared" ca="1" si="5"/>
        <v xml:space="preserve"> L</v>
      </c>
      <c r="T19" s="12" t="str">
        <f t="shared" ca="1" si="5"/>
        <v>✔</v>
      </c>
      <c r="U19" s="12" t="str">
        <f t="shared" ca="1" si="5"/>
        <v xml:space="preserve"> L</v>
      </c>
      <c r="V19" s="12" t="str">
        <f t="shared" ca="1" si="5"/>
        <v xml:space="preserve"> L</v>
      </c>
      <c r="W19" s="12" t="str">
        <f t="shared" ca="1" si="5"/>
        <v xml:space="preserve"> L</v>
      </c>
      <c r="X19" s="12" t="str">
        <f t="shared" ca="1" si="5"/>
        <v xml:space="preserve"> L</v>
      </c>
      <c r="Y19" s="12" t="str">
        <f t="shared" ca="1" si="5"/>
        <v>❌</v>
      </c>
      <c r="Z19" s="12" t="str">
        <f t="shared" ca="1" si="5"/>
        <v>❌</v>
      </c>
      <c r="AA19" s="12" t="str">
        <f t="shared" ca="1" si="5"/>
        <v>✔</v>
      </c>
      <c r="AB19" s="12" t="str">
        <f t="shared" ca="1" si="5"/>
        <v>❌</v>
      </c>
      <c r="AC19" s="12" t="str">
        <f t="shared" ca="1" si="5"/>
        <v>❌</v>
      </c>
      <c r="AD19" s="12" t="str">
        <f t="shared" ca="1" si="5"/>
        <v>✔</v>
      </c>
      <c r="AE19" s="12" t="str">
        <f t="shared" ca="1" si="5"/>
        <v>❌</v>
      </c>
      <c r="AF19" s="12" t="str">
        <f t="shared" ca="1" si="5"/>
        <v>✔</v>
      </c>
      <c r="AG19" s="12" t="str">
        <f t="shared" ca="1" si="5"/>
        <v>✔</v>
      </c>
      <c r="AH19" s="9">
        <f t="shared" ca="1" si="2"/>
        <v>11</v>
      </c>
      <c r="AI19" s="9">
        <f t="shared" ca="1" si="3"/>
        <v>8</v>
      </c>
      <c r="AJ19" s="9">
        <f t="shared" ca="1" si="4"/>
        <v>12</v>
      </c>
    </row>
    <row r="20" spans="1:36">
      <c r="A20" s="9" t="s">
        <v>87</v>
      </c>
      <c r="B20" s="9" t="str">
        <f>VLOOKUP(A20, Master_Roster!A$2:B$102, 2, FALSE)</f>
        <v>Lucas Anderson</v>
      </c>
      <c r="C20" s="12" t="str">
        <f t="shared" ca="1" si="1"/>
        <v>✔</v>
      </c>
      <c r="D20" s="12" t="str">
        <f t="shared" ca="1" si="5"/>
        <v xml:space="preserve"> L</v>
      </c>
      <c r="E20" s="12" t="str">
        <f t="shared" ca="1" si="5"/>
        <v xml:space="preserve"> L</v>
      </c>
      <c r="F20" s="12" t="str">
        <f t="shared" ca="1" si="5"/>
        <v>✔</v>
      </c>
      <c r="G20" s="12" t="str">
        <f t="shared" ca="1" si="5"/>
        <v>✔</v>
      </c>
      <c r="H20" s="12" t="str">
        <f t="shared" ca="1" si="5"/>
        <v>✔</v>
      </c>
      <c r="I20" s="12" t="str">
        <f t="shared" ca="1" si="5"/>
        <v>✔</v>
      </c>
      <c r="J20" s="12" t="str">
        <f t="shared" ca="1" si="5"/>
        <v>✔</v>
      </c>
      <c r="K20" s="12" t="str">
        <f t="shared" ca="1" si="5"/>
        <v>❌</v>
      </c>
      <c r="L20" s="12" t="str">
        <f t="shared" ca="1" si="5"/>
        <v>❌</v>
      </c>
      <c r="M20" s="12" t="str">
        <f t="shared" ca="1" si="5"/>
        <v xml:space="preserve"> L</v>
      </c>
      <c r="N20" s="12" t="str">
        <f t="shared" ca="1" si="5"/>
        <v xml:space="preserve"> L</v>
      </c>
      <c r="O20" s="12" t="str">
        <f t="shared" ca="1" si="5"/>
        <v>❌</v>
      </c>
      <c r="P20" s="12" t="str">
        <f t="shared" ca="1" si="5"/>
        <v xml:space="preserve"> L</v>
      </c>
      <c r="Q20" s="12" t="str">
        <f t="shared" ca="1" si="5"/>
        <v>❌</v>
      </c>
      <c r="R20" s="12" t="str">
        <f t="shared" ca="1" si="5"/>
        <v>❌</v>
      </c>
      <c r="S20" s="12" t="str">
        <f t="shared" ca="1" si="5"/>
        <v>✔</v>
      </c>
      <c r="T20" s="12" t="str">
        <f t="shared" ca="1" si="5"/>
        <v>✔</v>
      </c>
      <c r="U20" s="12" t="str">
        <f t="shared" ca="1" si="5"/>
        <v>❌</v>
      </c>
      <c r="V20" s="12" t="str">
        <f t="shared" ca="1" si="5"/>
        <v>✔</v>
      </c>
      <c r="W20" s="12" t="str">
        <f t="shared" ca="1" si="5"/>
        <v xml:space="preserve"> L</v>
      </c>
      <c r="X20" s="12" t="str">
        <f t="shared" ca="1" si="5"/>
        <v>❌</v>
      </c>
      <c r="Y20" s="12" t="str">
        <f t="shared" ca="1" si="5"/>
        <v xml:space="preserve"> L</v>
      </c>
      <c r="Z20" s="12" t="str">
        <f t="shared" ca="1" si="5"/>
        <v>❌</v>
      </c>
      <c r="AA20" s="12" t="str">
        <f t="shared" ca="1" si="5"/>
        <v>❌</v>
      </c>
      <c r="AB20" s="12" t="str">
        <f t="shared" ca="1" si="5"/>
        <v>❌</v>
      </c>
      <c r="AC20" s="12" t="str">
        <f t="shared" ca="1" si="5"/>
        <v>✔</v>
      </c>
      <c r="AD20" s="12" t="str">
        <f t="shared" ca="1" si="5"/>
        <v>✔</v>
      </c>
      <c r="AE20" s="12" t="str">
        <f t="shared" ca="1" si="5"/>
        <v>✔</v>
      </c>
      <c r="AF20" s="12" t="str">
        <f t="shared" ca="1" si="5"/>
        <v>❌</v>
      </c>
      <c r="AG20" s="12" t="str">
        <f t="shared" ca="1" si="5"/>
        <v>✔</v>
      </c>
      <c r="AH20" s="9">
        <f t="shared" ca="1" si="2"/>
        <v>13</v>
      </c>
      <c r="AI20" s="9">
        <f t="shared" ca="1" si="3"/>
        <v>11</v>
      </c>
      <c r="AJ20" s="9">
        <f t="shared" ca="1" si="4"/>
        <v>7</v>
      </c>
    </row>
    <row r="21" spans="1:36">
      <c r="A21" s="9" t="s">
        <v>91</v>
      </c>
      <c r="B21" s="9" t="str">
        <f>VLOOKUP(A21, Master_Roster!A$2:B$102, 2, FALSE)</f>
        <v>Abigail Thomas</v>
      </c>
      <c r="C21" s="12" t="str">
        <f t="shared" ca="1" si="1"/>
        <v>❌</v>
      </c>
      <c r="D21" s="12" t="str">
        <f t="shared" ca="1" si="5"/>
        <v xml:space="preserve"> L</v>
      </c>
      <c r="E21" s="12" t="str">
        <f t="shared" ca="1" si="5"/>
        <v>❌</v>
      </c>
      <c r="F21" s="12" t="str">
        <f t="shared" ca="1" si="5"/>
        <v>❌</v>
      </c>
      <c r="G21" s="12" t="str">
        <f t="shared" ca="1" si="5"/>
        <v>✔</v>
      </c>
      <c r="H21" s="12" t="str">
        <f t="shared" ca="1" si="5"/>
        <v xml:space="preserve"> L</v>
      </c>
      <c r="I21" s="12" t="str">
        <f t="shared" ca="1" si="5"/>
        <v xml:space="preserve"> L</v>
      </c>
      <c r="J21" s="12" t="str">
        <f t="shared" ca="1" si="5"/>
        <v>❌</v>
      </c>
      <c r="K21" s="12" t="str">
        <f t="shared" ca="1" si="5"/>
        <v>❌</v>
      </c>
      <c r="L21" s="12" t="str">
        <f t="shared" ca="1" si="5"/>
        <v>❌</v>
      </c>
      <c r="M21" s="12" t="str">
        <f t="shared" ca="1" si="5"/>
        <v>❌</v>
      </c>
      <c r="N21" s="12" t="str">
        <f t="shared" ca="1" si="5"/>
        <v>✔</v>
      </c>
      <c r="O21" s="12" t="str">
        <f t="shared" ca="1" si="5"/>
        <v xml:space="preserve"> L</v>
      </c>
      <c r="P21" s="12" t="str">
        <f t="shared" ca="1" si="5"/>
        <v xml:space="preserve"> L</v>
      </c>
      <c r="Q21" s="12" t="str">
        <f t="shared" ca="1" si="5"/>
        <v>✔</v>
      </c>
      <c r="R21" s="12" t="str">
        <f t="shared" ca="1" si="5"/>
        <v>✔</v>
      </c>
      <c r="S21" s="12" t="str">
        <f t="shared" ref="D21:AG29" ca="1" si="6">CHOOSE(RANDBETWEEN(1, 3), "✔", " L", "❌")</f>
        <v xml:space="preserve"> L</v>
      </c>
      <c r="T21" s="12" t="str">
        <f t="shared" ca="1" si="6"/>
        <v>❌</v>
      </c>
      <c r="U21" s="12" t="str">
        <f t="shared" ca="1" si="6"/>
        <v xml:space="preserve"> L</v>
      </c>
      <c r="V21" s="12" t="str">
        <f t="shared" ca="1" si="6"/>
        <v>❌</v>
      </c>
      <c r="W21" s="12" t="str">
        <f t="shared" ca="1" si="6"/>
        <v xml:space="preserve"> L</v>
      </c>
      <c r="X21" s="12" t="str">
        <f t="shared" ca="1" si="6"/>
        <v>✔</v>
      </c>
      <c r="Y21" s="12" t="str">
        <f t="shared" ca="1" si="6"/>
        <v>✔</v>
      </c>
      <c r="Z21" s="12" t="str">
        <f t="shared" ca="1" si="6"/>
        <v>✔</v>
      </c>
      <c r="AA21" s="12" t="str">
        <f t="shared" ca="1" si="6"/>
        <v>✔</v>
      </c>
      <c r="AB21" s="12" t="str">
        <f t="shared" ca="1" si="6"/>
        <v>❌</v>
      </c>
      <c r="AC21" s="12" t="str">
        <f t="shared" ca="1" si="6"/>
        <v>❌</v>
      </c>
      <c r="AD21" s="12" t="str">
        <f t="shared" ca="1" si="6"/>
        <v>❌</v>
      </c>
      <c r="AE21" s="12" t="str">
        <f t="shared" ca="1" si="6"/>
        <v>❌</v>
      </c>
      <c r="AF21" s="12" t="str">
        <f t="shared" ca="1" si="6"/>
        <v>✔</v>
      </c>
      <c r="AG21" s="12" t="str">
        <f t="shared" ca="1" si="6"/>
        <v>❌</v>
      </c>
      <c r="AH21" s="9">
        <f t="shared" ca="1" si="2"/>
        <v>9</v>
      </c>
      <c r="AI21" s="9">
        <f t="shared" ca="1" si="3"/>
        <v>14</v>
      </c>
      <c r="AJ21" s="9">
        <f t="shared" ca="1" si="4"/>
        <v>8</v>
      </c>
    </row>
    <row r="22" spans="1:36">
      <c r="A22" s="9" t="s">
        <v>95</v>
      </c>
      <c r="B22" s="9" t="str">
        <f>VLOOKUP(A22, Master_Roster!A$2:B$102, 2, FALSE)</f>
        <v>Mason Taylor</v>
      </c>
      <c r="C22" s="12" t="str">
        <f t="shared" ca="1" si="1"/>
        <v>❌</v>
      </c>
      <c r="D22" s="12" t="str">
        <f t="shared" ca="1" si="6"/>
        <v>✔</v>
      </c>
      <c r="E22" s="12" t="str">
        <f t="shared" ca="1" si="6"/>
        <v>❌</v>
      </c>
      <c r="F22" s="12" t="str">
        <f t="shared" ca="1" si="6"/>
        <v xml:space="preserve"> L</v>
      </c>
      <c r="G22" s="12" t="str">
        <f t="shared" ca="1" si="6"/>
        <v>✔</v>
      </c>
      <c r="H22" s="12" t="str">
        <f t="shared" ca="1" si="6"/>
        <v>❌</v>
      </c>
      <c r="I22" s="12" t="str">
        <f t="shared" ca="1" si="6"/>
        <v xml:space="preserve"> L</v>
      </c>
      <c r="J22" s="12" t="str">
        <f t="shared" ca="1" si="6"/>
        <v>❌</v>
      </c>
      <c r="K22" s="12" t="str">
        <f t="shared" ca="1" si="6"/>
        <v>✔</v>
      </c>
      <c r="L22" s="12" t="str">
        <f t="shared" ca="1" si="6"/>
        <v xml:space="preserve"> L</v>
      </c>
      <c r="M22" s="12" t="str">
        <f t="shared" ca="1" si="6"/>
        <v>❌</v>
      </c>
      <c r="N22" s="12" t="str">
        <f t="shared" ca="1" si="6"/>
        <v>❌</v>
      </c>
      <c r="O22" s="12" t="str">
        <f t="shared" ca="1" si="6"/>
        <v xml:space="preserve"> L</v>
      </c>
      <c r="P22" s="12" t="str">
        <f t="shared" ca="1" si="6"/>
        <v xml:space="preserve"> L</v>
      </c>
      <c r="Q22" s="12" t="str">
        <f t="shared" ca="1" si="6"/>
        <v>✔</v>
      </c>
      <c r="R22" s="12" t="str">
        <f t="shared" ca="1" si="6"/>
        <v>❌</v>
      </c>
      <c r="S22" s="12" t="str">
        <f t="shared" ca="1" si="6"/>
        <v xml:space="preserve"> L</v>
      </c>
      <c r="T22" s="12" t="str">
        <f t="shared" ca="1" si="6"/>
        <v>✔</v>
      </c>
      <c r="U22" s="12" t="str">
        <f t="shared" ca="1" si="6"/>
        <v xml:space="preserve"> L</v>
      </c>
      <c r="V22" s="12" t="str">
        <f t="shared" ca="1" si="6"/>
        <v>❌</v>
      </c>
      <c r="W22" s="12" t="str">
        <f t="shared" ca="1" si="6"/>
        <v>✔</v>
      </c>
      <c r="X22" s="12" t="str">
        <f t="shared" ca="1" si="6"/>
        <v>✔</v>
      </c>
      <c r="Y22" s="12" t="str">
        <f t="shared" ca="1" si="6"/>
        <v>❌</v>
      </c>
      <c r="Z22" s="12" t="str">
        <f t="shared" ca="1" si="6"/>
        <v>✔</v>
      </c>
      <c r="AA22" s="12" t="str">
        <f t="shared" ca="1" si="6"/>
        <v>✔</v>
      </c>
      <c r="AB22" s="12" t="str">
        <f t="shared" ca="1" si="6"/>
        <v>✔</v>
      </c>
      <c r="AC22" s="12" t="str">
        <f t="shared" ca="1" si="6"/>
        <v xml:space="preserve"> L</v>
      </c>
      <c r="AD22" s="12" t="str">
        <f t="shared" ca="1" si="6"/>
        <v>❌</v>
      </c>
      <c r="AE22" s="12" t="str">
        <f t="shared" ca="1" si="6"/>
        <v>❌</v>
      </c>
      <c r="AF22" s="12" t="str">
        <f t="shared" ca="1" si="6"/>
        <v>❌</v>
      </c>
      <c r="AG22" s="12" t="str">
        <f t="shared" ca="1" si="6"/>
        <v>✔</v>
      </c>
      <c r="AH22" s="9">
        <f t="shared" ca="1" si="2"/>
        <v>11</v>
      </c>
      <c r="AI22" s="9">
        <f t="shared" ca="1" si="3"/>
        <v>12</v>
      </c>
      <c r="AJ22" s="9">
        <f t="shared" ca="1" si="4"/>
        <v>8</v>
      </c>
    </row>
    <row r="23" spans="1:36">
      <c r="A23" s="9" t="s">
        <v>99</v>
      </c>
      <c r="B23" s="9" t="str">
        <f>VLOOKUP(A23, Master_Roster!A$2:B$102, 2, FALSE)</f>
        <v>Emily Moore</v>
      </c>
      <c r="C23" s="12" t="str">
        <f t="shared" ca="1" si="1"/>
        <v>❌</v>
      </c>
      <c r="D23" s="12" t="str">
        <f t="shared" ca="1" si="6"/>
        <v>✔</v>
      </c>
      <c r="E23" s="12" t="str">
        <f t="shared" ca="1" si="6"/>
        <v>✔</v>
      </c>
      <c r="F23" s="12" t="str">
        <f t="shared" ca="1" si="6"/>
        <v>✔</v>
      </c>
      <c r="G23" s="12" t="str">
        <f t="shared" ca="1" si="6"/>
        <v xml:space="preserve"> L</v>
      </c>
      <c r="H23" s="12" t="str">
        <f t="shared" ca="1" si="6"/>
        <v xml:space="preserve"> L</v>
      </c>
      <c r="I23" s="12" t="str">
        <f t="shared" ca="1" si="6"/>
        <v xml:space="preserve"> L</v>
      </c>
      <c r="J23" s="12" t="str">
        <f t="shared" ca="1" si="6"/>
        <v>✔</v>
      </c>
      <c r="K23" s="12" t="str">
        <f t="shared" ca="1" si="6"/>
        <v>❌</v>
      </c>
      <c r="L23" s="12" t="str">
        <f t="shared" ca="1" si="6"/>
        <v>✔</v>
      </c>
      <c r="M23" s="12" t="str">
        <f t="shared" ca="1" si="6"/>
        <v>❌</v>
      </c>
      <c r="N23" s="12" t="str">
        <f t="shared" ca="1" si="6"/>
        <v xml:space="preserve"> L</v>
      </c>
      <c r="O23" s="12" t="str">
        <f t="shared" ca="1" si="6"/>
        <v xml:space="preserve"> L</v>
      </c>
      <c r="P23" s="12" t="str">
        <f t="shared" ca="1" si="6"/>
        <v xml:space="preserve"> L</v>
      </c>
      <c r="Q23" s="12" t="str">
        <f t="shared" ca="1" si="6"/>
        <v>❌</v>
      </c>
      <c r="R23" s="12" t="str">
        <f t="shared" ca="1" si="6"/>
        <v>❌</v>
      </c>
      <c r="S23" s="12" t="str">
        <f t="shared" ca="1" si="6"/>
        <v xml:space="preserve"> L</v>
      </c>
      <c r="T23" s="12" t="str">
        <f t="shared" ca="1" si="6"/>
        <v xml:space="preserve"> L</v>
      </c>
      <c r="U23" s="12" t="str">
        <f t="shared" ca="1" si="6"/>
        <v>❌</v>
      </c>
      <c r="V23" s="12" t="str">
        <f t="shared" ca="1" si="6"/>
        <v xml:space="preserve"> L</v>
      </c>
      <c r="W23" s="12" t="str">
        <f t="shared" ca="1" si="6"/>
        <v>✔</v>
      </c>
      <c r="X23" s="12" t="str">
        <f t="shared" ca="1" si="6"/>
        <v xml:space="preserve"> L</v>
      </c>
      <c r="Y23" s="12" t="str">
        <f t="shared" ca="1" si="6"/>
        <v xml:space="preserve"> L</v>
      </c>
      <c r="Z23" s="12" t="str">
        <f t="shared" ca="1" si="6"/>
        <v xml:space="preserve"> L</v>
      </c>
      <c r="AA23" s="12" t="str">
        <f t="shared" ca="1" si="6"/>
        <v>❌</v>
      </c>
      <c r="AB23" s="12" t="str">
        <f t="shared" ca="1" si="6"/>
        <v xml:space="preserve"> L</v>
      </c>
      <c r="AC23" s="12" t="str">
        <f t="shared" ca="1" si="6"/>
        <v>✔</v>
      </c>
      <c r="AD23" s="12" t="str">
        <f t="shared" ca="1" si="6"/>
        <v xml:space="preserve"> L</v>
      </c>
      <c r="AE23" s="12" t="str">
        <f t="shared" ca="1" si="6"/>
        <v xml:space="preserve"> L</v>
      </c>
      <c r="AF23" s="12" t="str">
        <f t="shared" ca="1" si="6"/>
        <v xml:space="preserve"> L</v>
      </c>
      <c r="AG23" s="12" t="str">
        <f t="shared" ca="1" si="6"/>
        <v xml:space="preserve"> L</v>
      </c>
      <c r="AH23" s="9">
        <f t="shared" ca="1" si="2"/>
        <v>7</v>
      </c>
      <c r="AI23" s="9">
        <f t="shared" ca="1" si="3"/>
        <v>7</v>
      </c>
      <c r="AJ23" s="9">
        <f t="shared" ca="1" si="4"/>
        <v>17</v>
      </c>
    </row>
    <row r="24" spans="1:36">
      <c r="A24" s="9" t="s">
        <v>103</v>
      </c>
      <c r="B24" s="9" t="str">
        <f>VLOOKUP(A24, Master_Roster!A$2:B$102, 2, FALSE)</f>
        <v>Ethan Jackson</v>
      </c>
      <c r="C24" s="12" t="str">
        <f t="shared" ca="1" si="1"/>
        <v xml:space="preserve"> L</v>
      </c>
      <c r="D24" s="12" t="str">
        <f t="shared" ca="1" si="6"/>
        <v xml:space="preserve"> L</v>
      </c>
      <c r="E24" s="12" t="str">
        <f t="shared" ca="1" si="6"/>
        <v xml:space="preserve"> L</v>
      </c>
      <c r="F24" s="12" t="str">
        <f t="shared" ca="1" si="6"/>
        <v>❌</v>
      </c>
      <c r="G24" s="12" t="str">
        <f t="shared" ca="1" si="6"/>
        <v xml:space="preserve"> L</v>
      </c>
      <c r="H24" s="12" t="str">
        <f t="shared" ca="1" si="6"/>
        <v>✔</v>
      </c>
      <c r="I24" s="12" t="str">
        <f t="shared" ca="1" si="6"/>
        <v>❌</v>
      </c>
      <c r="J24" s="12" t="str">
        <f t="shared" ca="1" si="6"/>
        <v xml:space="preserve"> L</v>
      </c>
      <c r="K24" s="12" t="str">
        <f t="shared" ca="1" si="6"/>
        <v xml:space="preserve"> L</v>
      </c>
      <c r="L24" s="12" t="str">
        <f t="shared" ca="1" si="6"/>
        <v>✔</v>
      </c>
      <c r="M24" s="12" t="str">
        <f t="shared" ca="1" si="6"/>
        <v xml:space="preserve"> L</v>
      </c>
      <c r="N24" s="12" t="str">
        <f t="shared" ca="1" si="6"/>
        <v xml:space="preserve"> L</v>
      </c>
      <c r="O24" s="12" t="str">
        <f t="shared" ca="1" si="6"/>
        <v>❌</v>
      </c>
      <c r="P24" s="12" t="str">
        <f t="shared" ca="1" si="6"/>
        <v xml:space="preserve"> L</v>
      </c>
      <c r="Q24" s="12" t="str">
        <f t="shared" ca="1" si="6"/>
        <v>❌</v>
      </c>
      <c r="R24" s="12" t="str">
        <f t="shared" ca="1" si="6"/>
        <v>❌</v>
      </c>
      <c r="S24" s="12" t="str">
        <f t="shared" ca="1" si="6"/>
        <v xml:space="preserve"> L</v>
      </c>
      <c r="T24" s="12" t="str">
        <f t="shared" ca="1" si="6"/>
        <v>✔</v>
      </c>
      <c r="U24" s="12" t="str">
        <f t="shared" ca="1" si="6"/>
        <v>✔</v>
      </c>
      <c r="V24" s="12" t="str">
        <f t="shared" ca="1" si="6"/>
        <v xml:space="preserve"> L</v>
      </c>
      <c r="W24" s="12" t="str">
        <f t="shared" ca="1" si="6"/>
        <v>❌</v>
      </c>
      <c r="X24" s="12" t="str">
        <f t="shared" ca="1" si="6"/>
        <v xml:space="preserve"> L</v>
      </c>
      <c r="Y24" s="12" t="str">
        <f t="shared" ca="1" si="6"/>
        <v>❌</v>
      </c>
      <c r="Z24" s="12" t="str">
        <f t="shared" ca="1" si="6"/>
        <v>❌</v>
      </c>
      <c r="AA24" s="12" t="str">
        <f t="shared" ca="1" si="6"/>
        <v>✔</v>
      </c>
      <c r="AB24" s="12" t="str">
        <f t="shared" ca="1" si="6"/>
        <v>✔</v>
      </c>
      <c r="AC24" s="12" t="str">
        <f t="shared" ca="1" si="6"/>
        <v>✔</v>
      </c>
      <c r="AD24" s="12" t="str">
        <f t="shared" ca="1" si="6"/>
        <v>✔</v>
      </c>
      <c r="AE24" s="12" t="str">
        <f t="shared" ca="1" si="6"/>
        <v>✔</v>
      </c>
      <c r="AF24" s="12" t="str">
        <f t="shared" ca="1" si="6"/>
        <v xml:space="preserve"> L</v>
      </c>
      <c r="AG24" s="12" t="str">
        <f t="shared" ca="1" si="6"/>
        <v>❌</v>
      </c>
      <c r="AH24" s="9">
        <f t="shared" ca="1" si="2"/>
        <v>9</v>
      </c>
      <c r="AI24" s="9">
        <f t="shared" ca="1" si="3"/>
        <v>9</v>
      </c>
      <c r="AJ24" s="9">
        <f t="shared" ca="1" si="4"/>
        <v>13</v>
      </c>
    </row>
    <row r="25" spans="1:36">
      <c r="A25" s="9" t="s">
        <v>107</v>
      </c>
      <c r="B25" s="9" t="str">
        <f>VLOOKUP(A25, Master_Roster!A$2:B$102, 2, FALSE)</f>
        <v>Elizabeth Martin</v>
      </c>
      <c r="C25" s="12" t="str">
        <f t="shared" ca="1" si="1"/>
        <v>✔</v>
      </c>
      <c r="D25" s="12" t="str">
        <f t="shared" ca="1" si="6"/>
        <v xml:space="preserve"> L</v>
      </c>
      <c r="E25" s="12" t="str">
        <f t="shared" ca="1" si="6"/>
        <v xml:space="preserve"> L</v>
      </c>
      <c r="F25" s="12" t="str">
        <f t="shared" ca="1" si="6"/>
        <v>❌</v>
      </c>
      <c r="G25" s="12" t="str">
        <f t="shared" ca="1" si="6"/>
        <v xml:space="preserve"> L</v>
      </c>
      <c r="H25" s="12" t="str">
        <f t="shared" ca="1" si="6"/>
        <v>❌</v>
      </c>
      <c r="I25" s="12" t="str">
        <f t="shared" ca="1" si="6"/>
        <v xml:space="preserve"> L</v>
      </c>
      <c r="J25" s="12" t="str">
        <f t="shared" ca="1" si="6"/>
        <v>❌</v>
      </c>
      <c r="K25" s="12" t="str">
        <f t="shared" ca="1" si="6"/>
        <v xml:space="preserve"> L</v>
      </c>
      <c r="L25" s="12" t="str">
        <f t="shared" ca="1" si="6"/>
        <v>❌</v>
      </c>
      <c r="M25" s="12" t="str">
        <f t="shared" ca="1" si="6"/>
        <v xml:space="preserve"> L</v>
      </c>
      <c r="N25" s="12" t="str">
        <f t="shared" ca="1" si="6"/>
        <v>✔</v>
      </c>
      <c r="O25" s="12" t="str">
        <f t="shared" ca="1" si="6"/>
        <v>✔</v>
      </c>
      <c r="P25" s="12" t="str">
        <f t="shared" ca="1" si="6"/>
        <v>❌</v>
      </c>
      <c r="Q25" s="12" t="str">
        <f t="shared" ca="1" si="6"/>
        <v xml:space="preserve"> L</v>
      </c>
      <c r="R25" s="12" t="str">
        <f t="shared" ca="1" si="6"/>
        <v xml:space="preserve"> L</v>
      </c>
      <c r="S25" s="12" t="str">
        <f t="shared" ca="1" si="6"/>
        <v xml:space="preserve"> L</v>
      </c>
      <c r="T25" s="12" t="str">
        <f t="shared" ca="1" si="6"/>
        <v>❌</v>
      </c>
      <c r="U25" s="12" t="str">
        <f t="shared" ca="1" si="6"/>
        <v xml:space="preserve"> L</v>
      </c>
      <c r="V25" s="12" t="str">
        <f t="shared" ca="1" si="6"/>
        <v>✔</v>
      </c>
      <c r="W25" s="12" t="str">
        <f t="shared" ca="1" si="6"/>
        <v xml:space="preserve"> L</v>
      </c>
      <c r="X25" s="12" t="str">
        <f t="shared" ca="1" si="6"/>
        <v>✔</v>
      </c>
      <c r="Y25" s="12" t="str">
        <f t="shared" ca="1" si="6"/>
        <v xml:space="preserve"> L</v>
      </c>
      <c r="Z25" s="12" t="str">
        <f t="shared" ca="1" si="6"/>
        <v>✔</v>
      </c>
      <c r="AA25" s="12" t="str">
        <f t="shared" ca="1" si="6"/>
        <v xml:space="preserve"> L</v>
      </c>
      <c r="AB25" s="12" t="str">
        <f t="shared" ca="1" si="6"/>
        <v>❌</v>
      </c>
      <c r="AC25" s="12" t="str">
        <f t="shared" ca="1" si="6"/>
        <v>❌</v>
      </c>
      <c r="AD25" s="12" t="str">
        <f t="shared" ca="1" si="6"/>
        <v>✔</v>
      </c>
      <c r="AE25" s="12" t="str">
        <f t="shared" ca="1" si="6"/>
        <v>✔</v>
      </c>
      <c r="AF25" s="12" t="str">
        <f t="shared" ca="1" si="6"/>
        <v xml:space="preserve"> L</v>
      </c>
      <c r="AG25" s="12" t="str">
        <f t="shared" ca="1" si="6"/>
        <v>❌</v>
      </c>
      <c r="AH25" s="9">
        <f t="shared" ca="1" si="2"/>
        <v>8</v>
      </c>
      <c r="AI25" s="9">
        <f t="shared" ca="1" si="3"/>
        <v>9</v>
      </c>
      <c r="AJ25" s="9">
        <f t="shared" ca="1" si="4"/>
        <v>14</v>
      </c>
    </row>
    <row r="26" spans="1:36">
      <c r="A26" s="9" t="s">
        <v>111</v>
      </c>
      <c r="B26" s="9" t="str">
        <f>VLOOKUP(A26, Master_Roster!A$2:B$102, 2, FALSE)</f>
        <v>Jacob Lee</v>
      </c>
      <c r="C26" s="12" t="str">
        <f t="shared" ca="1" si="1"/>
        <v>❌</v>
      </c>
      <c r="D26" s="12" t="str">
        <f t="shared" ca="1" si="6"/>
        <v>✔</v>
      </c>
      <c r="E26" s="12" t="str">
        <f t="shared" ca="1" si="6"/>
        <v>✔</v>
      </c>
      <c r="F26" s="12" t="str">
        <f t="shared" ca="1" si="6"/>
        <v xml:space="preserve"> L</v>
      </c>
      <c r="G26" s="12" t="str">
        <f t="shared" ca="1" si="6"/>
        <v>❌</v>
      </c>
      <c r="H26" s="12" t="str">
        <f t="shared" ca="1" si="6"/>
        <v>❌</v>
      </c>
      <c r="I26" s="12" t="str">
        <f t="shared" ca="1" si="6"/>
        <v xml:space="preserve"> L</v>
      </c>
      <c r="J26" s="12" t="str">
        <f t="shared" ca="1" si="6"/>
        <v>❌</v>
      </c>
      <c r="K26" s="12" t="str">
        <f t="shared" ca="1" si="6"/>
        <v>❌</v>
      </c>
      <c r="L26" s="12" t="str">
        <f t="shared" ca="1" si="6"/>
        <v>✔</v>
      </c>
      <c r="M26" s="12" t="str">
        <f t="shared" ca="1" si="6"/>
        <v>❌</v>
      </c>
      <c r="N26" s="12" t="str">
        <f t="shared" ca="1" si="6"/>
        <v xml:space="preserve"> L</v>
      </c>
      <c r="O26" s="12" t="str">
        <f t="shared" ca="1" si="6"/>
        <v xml:space="preserve"> L</v>
      </c>
      <c r="P26" s="12" t="str">
        <f t="shared" ca="1" si="6"/>
        <v>✔</v>
      </c>
      <c r="Q26" s="12" t="str">
        <f t="shared" ca="1" si="6"/>
        <v xml:space="preserve"> L</v>
      </c>
      <c r="R26" s="12" t="str">
        <f t="shared" ca="1" si="6"/>
        <v xml:space="preserve"> L</v>
      </c>
      <c r="S26" s="12" t="str">
        <f t="shared" ca="1" si="6"/>
        <v>✔</v>
      </c>
      <c r="T26" s="12" t="str">
        <f t="shared" ca="1" si="6"/>
        <v xml:space="preserve"> L</v>
      </c>
      <c r="U26" s="12" t="str">
        <f t="shared" ca="1" si="6"/>
        <v>✔</v>
      </c>
      <c r="V26" s="12" t="str">
        <f t="shared" ca="1" si="6"/>
        <v>✔</v>
      </c>
      <c r="W26" s="12" t="str">
        <f t="shared" ca="1" si="6"/>
        <v>✔</v>
      </c>
      <c r="X26" s="12" t="str">
        <f t="shared" ca="1" si="6"/>
        <v>✔</v>
      </c>
      <c r="Y26" s="12" t="str">
        <f t="shared" ca="1" si="6"/>
        <v xml:space="preserve"> L</v>
      </c>
      <c r="Z26" s="12" t="str">
        <f t="shared" ca="1" si="6"/>
        <v>✔</v>
      </c>
      <c r="AA26" s="12" t="str">
        <f t="shared" ca="1" si="6"/>
        <v xml:space="preserve"> L</v>
      </c>
      <c r="AB26" s="12" t="str">
        <f t="shared" ca="1" si="6"/>
        <v>❌</v>
      </c>
      <c r="AC26" s="12" t="str">
        <f t="shared" ca="1" si="6"/>
        <v>✔</v>
      </c>
      <c r="AD26" s="12" t="str">
        <f t="shared" ca="1" si="6"/>
        <v>❌</v>
      </c>
      <c r="AE26" s="12" t="str">
        <f t="shared" ca="1" si="6"/>
        <v>✔</v>
      </c>
      <c r="AF26" s="12" t="str">
        <f t="shared" ca="1" si="6"/>
        <v xml:space="preserve"> L</v>
      </c>
      <c r="AG26" s="12" t="str">
        <f t="shared" ca="1" si="6"/>
        <v>✔</v>
      </c>
      <c r="AH26" s="9">
        <f t="shared" ca="1" si="2"/>
        <v>13</v>
      </c>
      <c r="AI26" s="9">
        <f t="shared" ca="1" si="3"/>
        <v>8</v>
      </c>
      <c r="AJ26" s="9">
        <f t="shared" ca="1" si="4"/>
        <v>10</v>
      </c>
    </row>
    <row r="27" spans="1:36">
      <c r="A27" s="9" t="s">
        <v>115</v>
      </c>
      <c r="B27" s="9" t="str">
        <f>VLOOKUP(A27, Master_Roster!A$2:B$102, 2, FALSE)</f>
        <v>Mila Perez</v>
      </c>
      <c r="C27" s="12" t="str">
        <f t="shared" ca="1" si="1"/>
        <v xml:space="preserve"> L</v>
      </c>
      <c r="D27" s="12" t="str">
        <f t="shared" ca="1" si="6"/>
        <v xml:space="preserve"> L</v>
      </c>
      <c r="E27" s="12" t="str">
        <f t="shared" ca="1" si="6"/>
        <v>❌</v>
      </c>
      <c r="F27" s="12" t="str">
        <f t="shared" ca="1" si="6"/>
        <v>❌</v>
      </c>
      <c r="G27" s="12" t="str">
        <f t="shared" ca="1" si="6"/>
        <v>❌</v>
      </c>
      <c r="H27" s="12" t="str">
        <f t="shared" ca="1" si="6"/>
        <v xml:space="preserve"> L</v>
      </c>
      <c r="I27" s="12" t="str">
        <f t="shared" ca="1" si="6"/>
        <v xml:space="preserve"> L</v>
      </c>
      <c r="J27" s="12" t="str">
        <f t="shared" ca="1" si="6"/>
        <v>❌</v>
      </c>
      <c r="K27" s="12" t="str">
        <f t="shared" ca="1" si="6"/>
        <v>❌</v>
      </c>
      <c r="L27" s="12" t="str">
        <f t="shared" ca="1" si="6"/>
        <v>❌</v>
      </c>
      <c r="M27" s="12" t="str">
        <f t="shared" ca="1" si="6"/>
        <v>❌</v>
      </c>
      <c r="N27" s="12" t="str">
        <f t="shared" ca="1" si="6"/>
        <v xml:space="preserve"> L</v>
      </c>
      <c r="O27" s="12" t="str">
        <f t="shared" ca="1" si="6"/>
        <v>❌</v>
      </c>
      <c r="P27" s="12" t="str">
        <f t="shared" ca="1" si="6"/>
        <v xml:space="preserve"> L</v>
      </c>
      <c r="Q27" s="12" t="str">
        <f t="shared" ca="1" si="6"/>
        <v>✔</v>
      </c>
      <c r="R27" s="12" t="str">
        <f t="shared" ca="1" si="6"/>
        <v>❌</v>
      </c>
      <c r="S27" s="12" t="str">
        <f t="shared" ca="1" si="6"/>
        <v>❌</v>
      </c>
      <c r="T27" s="12" t="str">
        <f t="shared" ca="1" si="6"/>
        <v xml:space="preserve"> L</v>
      </c>
      <c r="U27" s="12" t="str">
        <f t="shared" ca="1" si="6"/>
        <v>✔</v>
      </c>
      <c r="V27" s="12" t="str">
        <f t="shared" ca="1" si="6"/>
        <v>✔</v>
      </c>
      <c r="W27" s="12" t="str">
        <f t="shared" ca="1" si="6"/>
        <v xml:space="preserve"> L</v>
      </c>
      <c r="X27" s="12" t="str">
        <f t="shared" ca="1" si="6"/>
        <v xml:space="preserve"> L</v>
      </c>
      <c r="Y27" s="12" t="str">
        <f t="shared" ca="1" si="6"/>
        <v xml:space="preserve"> L</v>
      </c>
      <c r="Z27" s="12" t="str">
        <f t="shared" ca="1" si="6"/>
        <v xml:space="preserve"> L</v>
      </c>
      <c r="AA27" s="12" t="str">
        <f t="shared" ca="1" si="6"/>
        <v>✔</v>
      </c>
      <c r="AB27" s="12" t="str">
        <f t="shared" ca="1" si="6"/>
        <v xml:space="preserve"> L</v>
      </c>
      <c r="AC27" s="12" t="str">
        <f t="shared" ca="1" si="6"/>
        <v xml:space="preserve"> L</v>
      </c>
      <c r="AD27" s="12" t="str">
        <f t="shared" ca="1" si="6"/>
        <v>❌</v>
      </c>
      <c r="AE27" s="12" t="str">
        <f t="shared" ca="1" si="6"/>
        <v>✔</v>
      </c>
      <c r="AF27" s="12" t="str">
        <f t="shared" ca="1" si="6"/>
        <v>✔</v>
      </c>
      <c r="AG27" s="12" t="str">
        <f t="shared" ca="1" si="6"/>
        <v>❌</v>
      </c>
      <c r="AH27" s="9">
        <f t="shared" ca="1" si="2"/>
        <v>6</v>
      </c>
      <c r="AI27" s="9">
        <f t="shared" ca="1" si="3"/>
        <v>12</v>
      </c>
      <c r="AJ27" s="9">
        <f t="shared" ca="1" si="4"/>
        <v>13</v>
      </c>
    </row>
    <row r="28" spans="1:36">
      <c r="A28" s="9" t="s">
        <v>119</v>
      </c>
      <c r="B28" s="9" t="str">
        <f>VLOOKUP(A28, Master_Roster!A$2:B$102, 2, FALSE)</f>
        <v>Michael Thompson</v>
      </c>
      <c r="C28" s="12" t="str">
        <f t="shared" ca="1" si="1"/>
        <v>✔</v>
      </c>
      <c r="D28" s="12" t="str">
        <f t="shared" ca="1" si="6"/>
        <v>✔</v>
      </c>
      <c r="E28" s="12" t="str">
        <f t="shared" ca="1" si="6"/>
        <v>❌</v>
      </c>
      <c r="F28" s="12" t="str">
        <f t="shared" ca="1" si="6"/>
        <v>❌</v>
      </c>
      <c r="G28" s="12" t="str">
        <f t="shared" ca="1" si="6"/>
        <v>❌</v>
      </c>
      <c r="H28" s="12" t="str">
        <f t="shared" ca="1" si="6"/>
        <v>❌</v>
      </c>
      <c r="I28" s="12" t="str">
        <f t="shared" ca="1" si="6"/>
        <v xml:space="preserve"> L</v>
      </c>
      <c r="J28" s="12" t="str">
        <f t="shared" ca="1" si="6"/>
        <v>❌</v>
      </c>
      <c r="K28" s="12" t="str">
        <f t="shared" ca="1" si="6"/>
        <v xml:space="preserve"> L</v>
      </c>
      <c r="L28" s="12" t="str">
        <f t="shared" ca="1" si="6"/>
        <v>❌</v>
      </c>
      <c r="M28" s="12" t="str">
        <f t="shared" ca="1" si="6"/>
        <v>❌</v>
      </c>
      <c r="N28" s="12" t="str">
        <f t="shared" ca="1" si="6"/>
        <v>✔</v>
      </c>
      <c r="O28" s="12" t="str">
        <f t="shared" ca="1" si="6"/>
        <v>✔</v>
      </c>
      <c r="P28" s="12" t="str">
        <f t="shared" ca="1" si="6"/>
        <v>✔</v>
      </c>
      <c r="Q28" s="12" t="str">
        <f t="shared" ca="1" si="6"/>
        <v xml:space="preserve"> L</v>
      </c>
      <c r="R28" s="12" t="str">
        <f t="shared" ca="1" si="6"/>
        <v>✔</v>
      </c>
      <c r="S28" s="12" t="str">
        <f t="shared" ca="1" si="6"/>
        <v xml:space="preserve"> L</v>
      </c>
      <c r="T28" s="12" t="str">
        <f t="shared" ca="1" si="6"/>
        <v>❌</v>
      </c>
      <c r="U28" s="12" t="str">
        <f t="shared" ca="1" si="6"/>
        <v>✔</v>
      </c>
      <c r="V28" s="12" t="str">
        <f t="shared" ca="1" si="6"/>
        <v xml:space="preserve"> L</v>
      </c>
      <c r="W28" s="12" t="str">
        <f t="shared" ca="1" si="6"/>
        <v>✔</v>
      </c>
      <c r="X28" s="12" t="str">
        <f t="shared" ca="1" si="6"/>
        <v>✔</v>
      </c>
      <c r="Y28" s="12" t="str">
        <f t="shared" ca="1" si="6"/>
        <v xml:space="preserve"> L</v>
      </c>
      <c r="Z28" s="12" t="str">
        <f t="shared" ca="1" si="6"/>
        <v xml:space="preserve"> L</v>
      </c>
      <c r="AA28" s="12" t="str">
        <f t="shared" ca="1" si="6"/>
        <v>✔</v>
      </c>
      <c r="AB28" s="12" t="str">
        <f t="shared" ca="1" si="6"/>
        <v>✔</v>
      </c>
      <c r="AC28" s="12" t="str">
        <f t="shared" ca="1" si="6"/>
        <v>✔</v>
      </c>
      <c r="AD28" s="12" t="str">
        <f t="shared" ca="1" si="6"/>
        <v>✔</v>
      </c>
      <c r="AE28" s="12" t="str">
        <f t="shared" ca="1" si="6"/>
        <v>✔</v>
      </c>
      <c r="AF28" s="12" t="str">
        <f t="shared" ca="1" si="6"/>
        <v xml:space="preserve"> L</v>
      </c>
      <c r="AG28" s="12" t="str">
        <f t="shared" ca="1" si="6"/>
        <v>❌</v>
      </c>
      <c r="AH28" s="9">
        <f t="shared" ca="1" si="2"/>
        <v>14</v>
      </c>
      <c r="AI28" s="9">
        <f t="shared" ca="1" si="3"/>
        <v>9</v>
      </c>
      <c r="AJ28" s="9">
        <f t="shared" ca="1" si="4"/>
        <v>8</v>
      </c>
    </row>
    <row r="29" spans="1:36">
      <c r="A29" s="9" t="s">
        <v>123</v>
      </c>
      <c r="B29" s="9" t="str">
        <f>VLOOKUP(A29, Master_Roster!A$2:B$102, 2, FALSE)</f>
        <v>Ella White</v>
      </c>
      <c r="C29" s="12" t="str">
        <f t="shared" ca="1" si="1"/>
        <v>❌</v>
      </c>
      <c r="D29" s="12" t="str">
        <f t="shared" ca="1" si="6"/>
        <v>❌</v>
      </c>
      <c r="E29" s="12" t="str">
        <f t="shared" ca="1" si="6"/>
        <v xml:space="preserve"> L</v>
      </c>
      <c r="F29" s="12" t="str">
        <f t="shared" ca="1" si="6"/>
        <v>❌</v>
      </c>
      <c r="G29" s="12" t="str">
        <f t="shared" ca="1" si="6"/>
        <v>❌</v>
      </c>
      <c r="H29" s="12" t="str">
        <f t="shared" ca="1" si="6"/>
        <v xml:space="preserve"> L</v>
      </c>
      <c r="I29" s="12" t="str">
        <f t="shared" ca="1" si="6"/>
        <v>❌</v>
      </c>
      <c r="J29" s="12" t="str">
        <f t="shared" ca="1" si="6"/>
        <v>❌</v>
      </c>
      <c r="K29" s="12" t="str">
        <f t="shared" ca="1" si="6"/>
        <v>❌</v>
      </c>
      <c r="L29" s="12" t="str">
        <f t="shared" ca="1" si="6"/>
        <v xml:space="preserve"> L</v>
      </c>
      <c r="M29" s="12" t="str">
        <f t="shared" ca="1" si="6"/>
        <v xml:space="preserve"> L</v>
      </c>
      <c r="N29" s="12" t="str">
        <f t="shared" ca="1" si="6"/>
        <v>✔</v>
      </c>
      <c r="O29" s="12" t="str">
        <f t="shared" ca="1" si="6"/>
        <v xml:space="preserve"> L</v>
      </c>
      <c r="P29" s="12" t="str">
        <f t="shared" ca="1" si="6"/>
        <v xml:space="preserve"> L</v>
      </c>
      <c r="Q29" s="12" t="str">
        <f t="shared" ca="1" si="6"/>
        <v>❌</v>
      </c>
      <c r="R29" s="12" t="str">
        <f t="shared" ca="1" si="6"/>
        <v xml:space="preserve"> L</v>
      </c>
      <c r="S29" s="12" t="str">
        <f t="shared" ca="1" si="6"/>
        <v>❌</v>
      </c>
      <c r="T29" s="12" t="str">
        <f t="shared" ca="1" si="6"/>
        <v>✔</v>
      </c>
      <c r="U29" s="12" t="str">
        <f t="shared" ca="1" si="6"/>
        <v xml:space="preserve"> L</v>
      </c>
      <c r="V29" s="12" t="str">
        <f t="shared" ca="1" si="6"/>
        <v xml:space="preserve"> L</v>
      </c>
      <c r="W29" s="12" t="str">
        <f t="shared" ca="1" si="6"/>
        <v xml:space="preserve"> L</v>
      </c>
      <c r="X29" s="12" t="str">
        <f t="shared" ca="1" si="6"/>
        <v>✔</v>
      </c>
      <c r="Y29" s="12" t="str">
        <f t="shared" ca="1" si="6"/>
        <v>❌</v>
      </c>
      <c r="Z29" s="12" t="str">
        <f t="shared" ca="1" si="6"/>
        <v>❌</v>
      </c>
      <c r="AA29" s="12" t="str">
        <f t="shared" ca="1" si="6"/>
        <v>✔</v>
      </c>
      <c r="AB29" s="12" t="str">
        <f t="shared" ca="1" si="6"/>
        <v>❌</v>
      </c>
      <c r="AC29" s="12" t="str">
        <f t="shared" ca="1" si="6"/>
        <v>❌</v>
      </c>
      <c r="AD29" s="12" t="str">
        <f t="shared" ca="1" si="6"/>
        <v xml:space="preserve"> L</v>
      </c>
      <c r="AE29" s="12" t="str">
        <f t="shared" ca="1" si="6"/>
        <v>❌</v>
      </c>
      <c r="AF29" s="12" t="str">
        <f t="shared" ca="1" si="6"/>
        <v>✔</v>
      </c>
      <c r="AG29" s="12" t="str">
        <f t="shared" ca="1" si="6"/>
        <v>✔</v>
      </c>
      <c r="AH29" s="9">
        <f t="shared" ca="1" si="2"/>
        <v>6</v>
      </c>
      <c r="AI29" s="9">
        <f t="shared" ca="1" si="3"/>
        <v>14</v>
      </c>
      <c r="AJ29" s="9">
        <f t="shared" ca="1" si="4"/>
        <v>11</v>
      </c>
    </row>
    <row r="30" spans="1:36">
      <c r="A30" s="9" t="s">
        <v>127</v>
      </c>
      <c r="B30" s="9" t="str">
        <f>VLOOKUP(A30, Master_Roster!A$2:B$102, 2, FALSE)</f>
        <v>Daniel Harris</v>
      </c>
      <c r="C30" s="12" t="str">
        <f t="shared" ca="1" si="1"/>
        <v>✔</v>
      </c>
      <c r="D30" s="12" t="str">
        <f t="shared" ref="D30:AG38" ca="1" si="7">CHOOSE(RANDBETWEEN(1, 3), "✔", " L", "❌")</f>
        <v xml:space="preserve"> L</v>
      </c>
      <c r="E30" s="12" t="str">
        <f t="shared" ca="1" si="7"/>
        <v>✔</v>
      </c>
      <c r="F30" s="12" t="str">
        <f t="shared" ca="1" si="7"/>
        <v>❌</v>
      </c>
      <c r="G30" s="12" t="str">
        <f t="shared" ca="1" si="7"/>
        <v>✔</v>
      </c>
      <c r="H30" s="12" t="str">
        <f t="shared" ca="1" si="7"/>
        <v>✔</v>
      </c>
      <c r="I30" s="12" t="str">
        <f t="shared" ca="1" si="7"/>
        <v>❌</v>
      </c>
      <c r="J30" s="12" t="str">
        <f t="shared" ca="1" si="7"/>
        <v>✔</v>
      </c>
      <c r="K30" s="12" t="str">
        <f t="shared" ca="1" si="7"/>
        <v xml:space="preserve"> L</v>
      </c>
      <c r="L30" s="12" t="str">
        <f t="shared" ca="1" si="7"/>
        <v xml:space="preserve"> L</v>
      </c>
      <c r="M30" s="12" t="str">
        <f t="shared" ca="1" si="7"/>
        <v xml:space="preserve"> L</v>
      </c>
      <c r="N30" s="12" t="str">
        <f t="shared" ca="1" si="7"/>
        <v>❌</v>
      </c>
      <c r="O30" s="12" t="str">
        <f t="shared" ca="1" si="7"/>
        <v xml:space="preserve"> L</v>
      </c>
      <c r="P30" s="12" t="str">
        <f t="shared" ca="1" si="7"/>
        <v>❌</v>
      </c>
      <c r="Q30" s="12" t="str">
        <f t="shared" ca="1" si="7"/>
        <v>✔</v>
      </c>
      <c r="R30" s="12" t="str">
        <f t="shared" ca="1" si="7"/>
        <v>❌</v>
      </c>
      <c r="S30" s="12" t="str">
        <f t="shared" ca="1" si="7"/>
        <v>❌</v>
      </c>
      <c r="T30" s="12" t="str">
        <f t="shared" ca="1" si="7"/>
        <v xml:space="preserve"> L</v>
      </c>
      <c r="U30" s="12" t="str">
        <f t="shared" ca="1" si="7"/>
        <v>✔</v>
      </c>
      <c r="V30" s="12" t="str">
        <f t="shared" ca="1" si="7"/>
        <v>❌</v>
      </c>
      <c r="W30" s="12" t="str">
        <f t="shared" ca="1" si="7"/>
        <v>✔</v>
      </c>
      <c r="X30" s="12" t="str">
        <f t="shared" ca="1" si="7"/>
        <v>✔</v>
      </c>
      <c r="Y30" s="12" t="str">
        <f t="shared" ca="1" si="7"/>
        <v>❌</v>
      </c>
      <c r="Z30" s="12" t="str">
        <f t="shared" ca="1" si="7"/>
        <v xml:space="preserve"> L</v>
      </c>
      <c r="AA30" s="12" t="str">
        <f t="shared" ca="1" si="7"/>
        <v>❌</v>
      </c>
      <c r="AB30" s="12" t="str">
        <f t="shared" ca="1" si="7"/>
        <v xml:space="preserve"> L</v>
      </c>
      <c r="AC30" s="12" t="str">
        <f t="shared" ca="1" si="7"/>
        <v xml:space="preserve"> L</v>
      </c>
      <c r="AD30" s="12" t="str">
        <f t="shared" ca="1" si="7"/>
        <v>❌</v>
      </c>
      <c r="AE30" s="12" t="str">
        <f t="shared" ca="1" si="7"/>
        <v xml:space="preserve"> L</v>
      </c>
      <c r="AF30" s="12" t="str">
        <f t="shared" ca="1" si="7"/>
        <v xml:space="preserve"> L</v>
      </c>
      <c r="AG30" s="12" t="str">
        <f t="shared" ca="1" si="7"/>
        <v xml:space="preserve"> L</v>
      </c>
      <c r="AH30" s="9">
        <f t="shared" ca="1" si="2"/>
        <v>9</v>
      </c>
      <c r="AI30" s="9">
        <f t="shared" ca="1" si="3"/>
        <v>10</v>
      </c>
      <c r="AJ30" s="9">
        <f t="shared" ca="1" si="4"/>
        <v>12</v>
      </c>
    </row>
    <row r="31" spans="1:36">
      <c r="A31" s="9" t="s">
        <v>131</v>
      </c>
      <c r="B31" s="9" t="str">
        <f>VLOOKUP(A31, Master_Roster!A$2:B$102, 2, FALSE)</f>
        <v>Aria Sanchez</v>
      </c>
      <c r="C31" s="12" t="str">
        <f t="shared" ca="1" si="1"/>
        <v>❌</v>
      </c>
      <c r="D31" s="12" t="str">
        <f t="shared" ca="1" si="7"/>
        <v>✔</v>
      </c>
      <c r="E31" s="12" t="str">
        <f t="shared" ca="1" si="7"/>
        <v>✔</v>
      </c>
      <c r="F31" s="12" t="str">
        <f t="shared" ca="1" si="7"/>
        <v>❌</v>
      </c>
      <c r="G31" s="12" t="str">
        <f t="shared" ca="1" si="7"/>
        <v>✔</v>
      </c>
      <c r="H31" s="12" t="str">
        <f t="shared" ca="1" si="7"/>
        <v xml:space="preserve"> L</v>
      </c>
      <c r="I31" s="12" t="str">
        <f t="shared" ca="1" si="7"/>
        <v xml:space="preserve"> L</v>
      </c>
      <c r="J31" s="12" t="str">
        <f t="shared" ca="1" si="7"/>
        <v>❌</v>
      </c>
      <c r="K31" s="12" t="str">
        <f t="shared" ca="1" si="7"/>
        <v xml:space="preserve"> L</v>
      </c>
      <c r="L31" s="12" t="str">
        <f t="shared" ca="1" si="7"/>
        <v>❌</v>
      </c>
      <c r="M31" s="12" t="str">
        <f t="shared" ca="1" si="7"/>
        <v>✔</v>
      </c>
      <c r="N31" s="12" t="str">
        <f t="shared" ca="1" si="7"/>
        <v>❌</v>
      </c>
      <c r="O31" s="12" t="str">
        <f t="shared" ca="1" si="7"/>
        <v xml:space="preserve"> L</v>
      </c>
      <c r="P31" s="12" t="str">
        <f t="shared" ca="1" si="7"/>
        <v>❌</v>
      </c>
      <c r="Q31" s="12" t="str">
        <f t="shared" ca="1" si="7"/>
        <v>❌</v>
      </c>
      <c r="R31" s="12" t="str">
        <f t="shared" ca="1" si="7"/>
        <v xml:space="preserve"> L</v>
      </c>
      <c r="S31" s="12" t="str">
        <f t="shared" ca="1" si="7"/>
        <v>❌</v>
      </c>
      <c r="T31" s="12" t="str">
        <f t="shared" ca="1" si="7"/>
        <v xml:space="preserve"> L</v>
      </c>
      <c r="U31" s="12" t="str">
        <f t="shared" ca="1" si="7"/>
        <v>✔</v>
      </c>
      <c r="V31" s="12" t="str">
        <f t="shared" ca="1" si="7"/>
        <v xml:space="preserve"> L</v>
      </c>
      <c r="W31" s="12" t="str">
        <f t="shared" ca="1" si="7"/>
        <v xml:space="preserve"> L</v>
      </c>
      <c r="X31" s="12" t="str">
        <f t="shared" ca="1" si="7"/>
        <v>✔</v>
      </c>
      <c r="Y31" s="12" t="str">
        <f t="shared" ca="1" si="7"/>
        <v>❌</v>
      </c>
      <c r="Z31" s="12" t="str">
        <f t="shared" ca="1" si="7"/>
        <v>❌</v>
      </c>
      <c r="AA31" s="12" t="str">
        <f t="shared" ca="1" si="7"/>
        <v xml:space="preserve"> L</v>
      </c>
      <c r="AB31" s="12" t="str">
        <f t="shared" ca="1" si="7"/>
        <v>✔</v>
      </c>
      <c r="AC31" s="12" t="str">
        <f t="shared" ca="1" si="7"/>
        <v>✔</v>
      </c>
      <c r="AD31" s="12" t="str">
        <f t="shared" ca="1" si="7"/>
        <v>✔</v>
      </c>
      <c r="AE31" s="12" t="str">
        <f t="shared" ca="1" si="7"/>
        <v>❌</v>
      </c>
      <c r="AF31" s="12" t="str">
        <f t="shared" ca="1" si="7"/>
        <v xml:space="preserve"> L</v>
      </c>
      <c r="AG31" s="12" t="str">
        <f t="shared" ca="1" si="7"/>
        <v>❌</v>
      </c>
      <c r="AH31" s="9">
        <f t="shared" ca="1" si="2"/>
        <v>9</v>
      </c>
      <c r="AI31" s="9">
        <f t="shared" ca="1" si="3"/>
        <v>12</v>
      </c>
      <c r="AJ31" s="9">
        <f t="shared" ca="1" si="4"/>
        <v>10</v>
      </c>
    </row>
    <row r="32" spans="1:36">
      <c r="A32" s="9" t="s">
        <v>135</v>
      </c>
      <c r="B32" s="9" t="str">
        <f>VLOOKUP(A32, Master_Roster!A$2:B$102, 2, FALSE)</f>
        <v>Henry Clark</v>
      </c>
      <c r="C32" s="12" t="str">
        <f t="shared" ca="1" si="1"/>
        <v xml:space="preserve"> L</v>
      </c>
      <c r="D32" s="12" t="str">
        <f t="shared" ca="1" si="7"/>
        <v>✔</v>
      </c>
      <c r="E32" s="12" t="str">
        <f t="shared" ca="1" si="7"/>
        <v xml:space="preserve"> L</v>
      </c>
      <c r="F32" s="12" t="str">
        <f t="shared" ca="1" si="7"/>
        <v>✔</v>
      </c>
      <c r="G32" s="12" t="str">
        <f t="shared" ca="1" si="7"/>
        <v xml:space="preserve"> L</v>
      </c>
      <c r="H32" s="12" t="str">
        <f t="shared" ca="1" si="7"/>
        <v>✔</v>
      </c>
      <c r="I32" s="12" t="str">
        <f t="shared" ca="1" si="7"/>
        <v xml:space="preserve"> L</v>
      </c>
      <c r="J32" s="12" t="str">
        <f t="shared" ca="1" si="7"/>
        <v>✔</v>
      </c>
      <c r="K32" s="12" t="str">
        <f t="shared" ca="1" si="7"/>
        <v>✔</v>
      </c>
      <c r="L32" s="12" t="str">
        <f t="shared" ca="1" si="7"/>
        <v>✔</v>
      </c>
      <c r="M32" s="12" t="str">
        <f t="shared" ca="1" si="7"/>
        <v xml:space="preserve"> L</v>
      </c>
      <c r="N32" s="12" t="str">
        <f t="shared" ca="1" si="7"/>
        <v>❌</v>
      </c>
      <c r="O32" s="12" t="str">
        <f t="shared" ca="1" si="7"/>
        <v xml:space="preserve"> L</v>
      </c>
      <c r="P32" s="12" t="str">
        <f t="shared" ca="1" si="7"/>
        <v>✔</v>
      </c>
      <c r="Q32" s="12" t="str">
        <f t="shared" ca="1" si="7"/>
        <v>✔</v>
      </c>
      <c r="R32" s="12" t="str">
        <f t="shared" ca="1" si="7"/>
        <v>✔</v>
      </c>
      <c r="S32" s="12" t="str">
        <f t="shared" ca="1" si="7"/>
        <v>✔</v>
      </c>
      <c r="T32" s="12" t="str">
        <f t="shared" ca="1" si="7"/>
        <v xml:space="preserve"> L</v>
      </c>
      <c r="U32" s="12" t="str">
        <f t="shared" ca="1" si="7"/>
        <v>✔</v>
      </c>
      <c r="V32" s="12" t="str">
        <f t="shared" ca="1" si="7"/>
        <v>✔</v>
      </c>
      <c r="W32" s="12" t="str">
        <f t="shared" ca="1" si="7"/>
        <v xml:space="preserve"> L</v>
      </c>
      <c r="X32" s="12" t="str">
        <f t="shared" ca="1" si="7"/>
        <v>✔</v>
      </c>
      <c r="Y32" s="12" t="str">
        <f t="shared" ca="1" si="7"/>
        <v>✔</v>
      </c>
      <c r="Z32" s="12" t="str">
        <f t="shared" ca="1" si="7"/>
        <v>❌</v>
      </c>
      <c r="AA32" s="12" t="str">
        <f t="shared" ca="1" si="7"/>
        <v>✔</v>
      </c>
      <c r="AB32" s="12" t="str">
        <f t="shared" ca="1" si="7"/>
        <v>✔</v>
      </c>
      <c r="AC32" s="12" t="str">
        <f t="shared" ca="1" si="7"/>
        <v>✔</v>
      </c>
      <c r="AD32" s="12" t="str">
        <f t="shared" ca="1" si="7"/>
        <v>❌</v>
      </c>
      <c r="AE32" s="12" t="str">
        <f t="shared" ca="1" si="7"/>
        <v>✔</v>
      </c>
      <c r="AF32" s="12" t="str">
        <f t="shared" ca="1" si="7"/>
        <v xml:space="preserve"> L</v>
      </c>
      <c r="AG32" s="12" t="str">
        <f t="shared" ca="1" si="7"/>
        <v xml:space="preserve"> L</v>
      </c>
      <c r="AH32" s="9">
        <f t="shared" ca="1" si="2"/>
        <v>18</v>
      </c>
      <c r="AI32" s="9">
        <f t="shared" ca="1" si="3"/>
        <v>3</v>
      </c>
      <c r="AJ32" s="9">
        <f t="shared" ca="1" si="4"/>
        <v>10</v>
      </c>
    </row>
    <row r="33" spans="1:36">
      <c r="A33" s="9" t="s">
        <v>139</v>
      </c>
      <c r="B33" s="9" t="str">
        <f>VLOOKUP(A33, Master_Roster!A$2:B$102, 2, FALSE)</f>
        <v>Chloe Ramirez</v>
      </c>
      <c r="C33" s="12" t="str">
        <f t="shared" ca="1" si="1"/>
        <v>❌</v>
      </c>
      <c r="D33" s="12" t="str">
        <f t="shared" ca="1" si="7"/>
        <v>❌</v>
      </c>
      <c r="E33" s="12" t="str">
        <f t="shared" ca="1" si="7"/>
        <v>❌</v>
      </c>
      <c r="F33" s="12" t="str">
        <f t="shared" ca="1" si="7"/>
        <v>❌</v>
      </c>
      <c r="G33" s="12" t="str">
        <f t="shared" ca="1" si="7"/>
        <v>❌</v>
      </c>
      <c r="H33" s="12" t="str">
        <f t="shared" ca="1" si="7"/>
        <v>❌</v>
      </c>
      <c r="I33" s="12" t="str">
        <f t="shared" ca="1" si="7"/>
        <v xml:space="preserve"> L</v>
      </c>
      <c r="J33" s="12" t="str">
        <f t="shared" ca="1" si="7"/>
        <v xml:space="preserve"> L</v>
      </c>
      <c r="K33" s="12" t="str">
        <f t="shared" ca="1" si="7"/>
        <v>✔</v>
      </c>
      <c r="L33" s="12" t="str">
        <f t="shared" ca="1" si="7"/>
        <v>✔</v>
      </c>
      <c r="M33" s="12" t="str">
        <f t="shared" ca="1" si="7"/>
        <v>❌</v>
      </c>
      <c r="N33" s="12" t="str">
        <f t="shared" ca="1" si="7"/>
        <v>✔</v>
      </c>
      <c r="O33" s="12" t="str">
        <f t="shared" ca="1" si="7"/>
        <v>✔</v>
      </c>
      <c r="P33" s="12" t="str">
        <f t="shared" ca="1" si="7"/>
        <v>✔</v>
      </c>
      <c r="Q33" s="12" t="str">
        <f t="shared" ca="1" si="7"/>
        <v>❌</v>
      </c>
      <c r="R33" s="12" t="str">
        <f t="shared" ca="1" si="7"/>
        <v>❌</v>
      </c>
      <c r="S33" s="12" t="str">
        <f t="shared" ca="1" si="7"/>
        <v xml:space="preserve"> L</v>
      </c>
      <c r="T33" s="12" t="str">
        <f t="shared" ca="1" si="7"/>
        <v xml:space="preserve"> L</v>
      </c>
      <c r="U33" s="12" t="str">
        <f t="shared" ca="1" si="7"/>
        <v xml:space="preserve"> L</v>
      </c>
      <c r="V33" s="12" t="str">
        <f t="shared" ca="1" si="7"/>
        <v>✔</v>
      </c>
      <c r="W33" s="12" t="str">
        <f t="shared" ca="1" si="7"/>
        <v xml:space="preserve"> L</v>
      </c>
      <c r="X33" s="12" t="str">
        <f t="shared" ca="1" si="7"/>
        <v>❌</v>
      </c>
      <c r="Y33" s="12" t="str">
        <f t="shared" ca="1" si="7"/>
        <v>✔</v>
      </c>
      <c r="Z33" s="12" t="str">
        <f t="shared" ca="1" si="7"/>
        <v xml:space="preserve"> L</v>
      </c>
      <c r="AA33" s="12" t="str">
        <f t="shared" ca="1" si="7"/>
        <v>✔</v>
      </c>
      <c r="AB33" s="12" t="str">
        <f t="shared" ca="1" si="7"/>
        <v>❌</v>
      </c>
      <c r="AC33" s="12" t="str">
        <f t="shared" ca="1" si="7"/>
        <v>✔</v>
      </c>
      <c r="AD33" s="12" t="str">
        <f t="shared" ca="1" si="7"/>
        <v xml:space="preserve"> L</v>
      </c>
      <c r="AE33" s="12" t="str">
        <f t="shared" ca="1" si="7"/>
        <v>✔</v>
      </c>
      <c r="AF33" s="12" t="str">
        <f t="shared" ca="1" si="7"/>
        <v>❌</v>
      </c>
      <c r="AG33" s="12" t="str">
        <f t="shared" ca="1" si="7"/>
        <v>✔</v>
      </c>
      <c r="AH33" s="9">
        <f t="shared" ca="1" si="2"/>
        <v>11</v>
      </c>
      <c r="AI33" s="9">
        <f t="shared" ca="1" si="3"/>
        <v>12</v>
      </c>
      <c r="AJ33" s="9">
        <f t="shared" ca="1" si="4"/>
        <v>8</v>
      </c>
    </row>
    <row r="34" spans="1:36">
      <c r="A34" s="9" t="s">
        <v>143</v>
      </c>
      <c r="B34" s="9" t="str">
        <f>VLOOKUP(A34, Master_Roster!A$2:B$102, 2, FALSE)</f>
        <v>Jackson Lewis</v>
      </c>
      <c r="C34" s="12" t="str">
        <f t="shared" ca="1" si="1"/>
        <v xml:space="preserve"> L</v>
      </c>
      <c r="D34" s="12" t="str">
        <f t="shared" ca="1" si="7"/>
        <v xml:space="preserve"> L</v>
      </c>
      <c r="E34" s="12" t="str">
        <f t="shared" ca="1" si="7"/>
        <v>✔</v>
      </c>
      <c r="F34" s="12" t="str">
        <f t="shared" ca="1" si="7"/>
        <v xml:space="preserve"> L</v>
      </c>
      <c r="G34" s="12" t="str">
        <f t="shared" ca="1" si="7"/>
        <v>❌</v>
      </c>
      <c r="H34" s="12" t="str">
        <f t="shared" ca="1" si="7"/>
        <v>❌</v>
      </c>
      <c r="I34" s="12" t="str">
        <f t="shared" ca="1" si="7"/>
        <v>✔</v>
      </c>
      <c r="J34" s="12" t="str">
        <f t="shared" ca="1" si="7"/>
        <v>✔</v>
      </c>
      <c r="K34" s="12" t="str">
        <f t="shared" ca="1" si="7"/>
        <v>❌</v>
      </c>
      <c r="L34" s="12" t="str">
        <f t="shared" ca="1" si="7"/>
        <v xml:space="preserve"> L</v>
      </c>
      <c r="M34" s="12" t="str">
        <f t="shared" ca="1" si="7"/>
        <v xml:space="preserve"> L</v>
      </c>
      <c r="N34" s="12" t="str">
        <f t="shared" ca="1" si="7"/>
        <v>✔</v>
      </c>
      <c r="O34" s="12" t="str">
        <f t="shared" ca="1" si="7"/>
        <v>❌</v>
      </c>
      <c r="P34" s="12" t="str">
        <f t="shared" ca="1" si="7"/>
        <v>✔</v>
      </c>
      <c r="Q34" s="12" t="str">
        <f t="shared" ca="1" si="7"/>
        <v xml:space="preserve"> L</v>
      </c>
      <c r="R34" s="12" t="str">
        <f t="shared" ca="1" si="7"/>
        <v>✔</v>
      </c>
      <c r="S34" s="12" t="str">
        <f t="shared" ca="1" si="7"/>
        <v>❌</v>
      </c>
      <c r="T34" s="12" t="str">
        <f t="shared" ca="1" si="7"/>
        <v>✔</v>
      </c>
      <c r="U34" s="12" t="str">
        <f t="shared" ca="1" si="7"/>
        <v xml:space="preserve"> L</v>
      </c>
      <c r="V34" s="12" t="str">
        <f t="shared" ca="1" si="7"/>
        <v>✔</v>
      </c>
      <c r="W34" s="12" t="str">
        <f t="shared" ca="1" si="7"/>
        <v xml:space="preserve"> L</v>
      </c>
      <c r="X34" s="12" t="str">
        <f t="shared" ca="1" si="7"/>
        <v>✔</v>
      </c>
      <c r="Y34" s="12" t="str">
        <f t="shared" ca="1" si="7"/>
        <v xml:space="preserve"> L</v>
      </c>
      <c r="Z34" s="12" t="str">
        <f t="shared" ca="1" si="7"/>
        <v xml:space="preserve"> L</v>
      </c>
      <c r="AA34" s="12" t="str">
        <f t="shared" ca="1" si="7"/>
        <v>❌</v>
      </c>
      <c r="AB34" s="12" t="str">
        <f t="shared" ca="1" si="7"/>
        <v>✔</v>
      </c>
      <c r="AC34" s="12" t="str">
        <f t="shared" ca="1" si="7"/>
        <v xml:space="preserve"> L</v>
      </c>
      <c r="AD34" s="12" t="str">
        <f t="shared" ca="1" si="7"/>
        <v>❌</v>
      </c>
      <c r="AE34" s="12" t="str">
        <f t="shared" ca="1" si="7"/>
        <v xml:space="preserve"> L</v>
      </c>
      <c r="AF34" s="12" t="str">
        <f t="shared" ca="1" si="7"/>
        <v>❌</v>
      </c>
      <c r="AG34" s="12" t="str">
        <f t="shared" ca="1" si="7"/>
        <v>❌</v>
      </c>
      <c r="AH34" s="9">
        <f t="shared" ca="1" si="2"/>
        <v>10</v>
      </c>
      <c r="AI34" s="9">
        <f t="shared" ca="1" si="3"/>
        <v>9</v>
      </c>
      <c r="AJ34" s="9">
        <f t="shared" ca="1" si="4"/>
        <v>12</v>
      </c>
    </row>
    <row r="35" spans="1:36">
      <c r="A35" s="9" t="s">
        <v>147</v>
      </c>
      <c r="B35" s="9" t="str">
        <f>VLOOKUP(A35, Master_Roster!A$2:B$102, 2, FALSE)</f>
        <v>Penelope Robinson</v>
      </c>
      <c r="C35" s="12" t="str">
        <f t="shared" ca="1" si="1"/>
        <v xml:space="preserve"> L</v>
      </c>
      <c r="D35" s="12" t="str">
        <f t="shared" ca="1" si="7"/>
        <v>❌</v>
      </c>
      <c r="E35" s="12" t="str">
        <f t="shared" ca="1" si="7"/>
        <v xml:space="preserve"> L</v>
      </c>
      <c r="F35" s="12" t="str">
        <f t="shared" ca="1" si="7"/>
        <v>✔</v>
      </c>
      <c r="G35" s="12" t="str">
        <f t="shared" ca="1" si="7"/>
        <v>❌</v>
      </c>
      <c r="H35" s="12" t="str">
        <f t="shared" ca="1" si="7"/>
        <v>✔</v>
      </c>
      <c r="I35" s="12" t="str">
        <f t="shared" ca="1" si="7"/>
        <v>❌</v>
      </c>
      <c r="J35" s="12" t="str">
        <f t="shared" ca="1" si="7"/>
        <v>❌</v>
      </c>
      <c r="K35" s="12" t="str">
        <f t="shared" ca="1" si="7"/>
        <v xml:space="preserve"> L</v>
      </c>
      <c r="L35" s="12" t="str">
        <f t="shared" ca="1" si="7"/>
        <v xml:space="preserve"> L</v>
      </c>
      <c r="M35" s="12" t="str">
        <f t="shared" ca="1" si="7"/>
        <v>✔</v>
      </c>
      <c r="N35" s="12" t="str">
        <f t="shared" ca="1" si="7"/>
        <v>✔</v>
      </c>
      <c r="O35" s="12" t="str">
        <f t="shared" ca="1" si="7"/>
        <v xml:space="preserve"> L</v>
      </c>
      <c r="P35" s="12" t="str">
        <f t="shared" ca="1" si="7"/>
        <v>❌</v>
      </c>
      <c r="Q35" s="12" t="str">
        <f t="shared" ca="1" si="7"/>
        <v xml:space="preserve"> L</v>
      </c>
      <c r="R35" s="12" t="str">
        <f t="shared" ca="1" si="7"/>
        <v>❌</v>
      </c>
      <c r="S35" s="12" t="str">
        <f t="shared" ca="1" si="7"/>
        <v>✔</v>
      </c>
      <c r="T35" s="12" t="str">
        <f t="shared" ca="1" si="7"/>
        <v>❌</v>
      </c>
      <c r="U35" s="12" t="str">
        <f t="shared" ca="1" si="7"/>
        <v>✔</v>
      </c>
      <c r="V35" s="12" t="str">
        <f t="shared" ca="1" si="7"/>
        <v xml:space="preserve"> L</v>
      </c>
      <c r="W35" s="12" t="str">
        <f t="shared" ca="1" si="7"/>
        <v xml:space="preserve"> L</v>
      </c>
      <c r="X35" s="12" t="str">
        <f t="shared" ca="1" si="7"/>
        <v>✔</v>
      </c>
      <c r="Y35" s="12" t="str">
        <f t="shared" ca="1" si="7"/>
        <v xml:space="preserve"> L</v>
      </c>
      <c r="Z35" s="12" t="str">
        <f t="shared" ca="1" si="7"/>
        <v>❌</v>
      </c>
      <c r="AA35" s="12" t="str">
        <f t="shared" ca="1" si="7"/>
        <v>❌</v>
      </c>
      <c r="AB35" s="12" t="str">
        <f t="shared" ca="1" si="7"/>
        <v>❌</v>
      </c>
      <c r="AC35" s="12" t="str">
        <f t="shared" ca="1" si="7"/>
        <v>❌</v>
      </c>
      <c r="AD35" s="12" t="str">
        <f t="shared" ca="1" si="7"/>
        <v>❌</v>
      </c>
      <c r="AE35" s="12" t="str">
        <f t="shared" ca="1" si="7"/>
        <v>✔</v>
      </c>
      <c r="AF35" s="12" t="str">
        <f t="shared" ca="1" si="7"/>
        <v>✔</v>
      </c>
      <c r="AG35" s="12" t="str">
        <f t="shared" ca="1" si="7"/>
        <v>✔</v>
      </c>
      <c r="AH35" s="9">
        <f t="shared" ca="1" si="2"/>
        <v>10</v>
      </c>
      <c r="AI35" s="9">
        <f t="shared" ca="1" si="3"/>
        <v>12</v>
      </c>
      <c r="AJ35" s="9">
        <f t="shared" ca="1" si="4"/>
        <v>9</v>
      </c>
    </row>
    <row r="36" spans="1:36">
      <c r="A36" s="9" t="s">
        <v>151</v>
      </c>
      <c r="B36" s="9" t="str">
        <f>VLOOKUP(A36, Master_Roster!A$2:B$102, 2, FALSE)</f>
        <v>Sebastian Walker</v>
      </c>
      <c r="C36" s="12" t="str">
        <f t="shared" ca="1" si="1"/>
        <v>❌</v>
      </c>
      <c r="D36" s="12" t="str">
        <f t="shared" ca="1" si="7"/>
        <v>✔</v>
      </c>
      <c r="E36" s="12" t="str">
        <f t="shared" ca="1" si="7"/>
        <v xml:space="preserve"> L</v>
      </c>
      <c r="F36" s="12" t="str">
        <f t="shared" ca="1" si="7"/>
        <v>❌</v>
      </c>
      <c r="G36" s="12" t="str">
        <f t="shared" ca="1" si="7"/>
        <v>❌</v>
      </c>
      <c r="H36" s="12" t="str">
        <f t="shared" ca="1" si="7"/>
        <v>❌</v>
      </c>
      <c r="I36" s="12" t="str">
        <f t="shared" ca="1" si="7"/>
        <v xml:space="preserve"> L</v>
      </c>
      <c r="J36" s="12" t="str">
        <f t="shared" ca="1" si="7"/>
        <v>✔</v>
      </c>
      <c r="K36" s="12" t="str">
        <f t="shared" ca="1" si="7"/>
        <v>❌</v>
      </c>
      <c r="L36" s="12" t="str">
        <f t="shared" ca="1" si="7"/>
        <v>✔</v>
      </c>
      <c r="M36" s="12" t="str">
        <f t="shared" ca="1" si="7"/>
        <v>✔</v>
      </c>
      <c r="N36" s="12" t="str">
        <f t="shared" ca="1" si="7"/>
        <v>✔</v>
      </c>
      <c r="O36" s="12" t="str">
        <f t="shared" ca="1" si="7"/>
        <v xml:space="preserve"> L</v>
      </c>
      <c r="P36" s="12" t="str">
        <f t="shared" ca="1" si="7"/>
        <v>❌</v>
      </c>
      <c r="Q36" s="12" t="str">
        <f t="shared" ca="1" si="7"/>
        <v>❌</v>
      </c>
      <c r="R36" s="12" t="str">
        <f t="shared" ca="1" si="7"/>
        <v>✔</v>
      </c>
      <c r="S36" s="12" t="str">
        <f t="shared" ca="1" si="7"/>
        <v xml:space="preserve"> L</v>
      </c>
      <c r="T36" s="12" t="str">
        <f t="shared" ca="1" si="7"/>
        <v>❌</v>
      </c>
      <c r="U36" s="12" t="str">
        <f t="shared" ca="1" si="7"/>
        <v xml:space="preserve"> L</v>
      </c>
      <c r="V36" s="12" t="str">
        <f t="shared" ca="1" si="7"/>
        <v>✔</v>
      </c>
      <c r="W36" s="12" t="str">
        <f t="shared" ca="1" si="7"/>
        <v>❌</v>
      </c>
      <c r="X36" s="12" t="str">
        <f t="shared" ca="1" si="7"/>
        <v>❌</v>
      </c>
      <c r="Y36" s="12" t="str">
        <f t="shared" ca="1" si="7"/>
        <v xml:space="preserve"> L</v>
      </c>
      <c r="Z36" s="12" t="str">
        <f t="shared" ca="1" si="7"/>
        <v xml:space="preserve"> L</v>
      </c>
      <c r="AA36" s="12" t="str">
        <f t="shared" ca="1" si="7"/>
        <v>✔</v>
      </c>
      <c r="AB36" s="12" t="str">
        <f t="shared" ca="1" si="7"/>
        <v>❌</v>
      </c>
      <c r="AC36" s="12" t="str">
        <f t="shared" ca="1" si="7"/>
        <v xml:space="preserve"> L</v>
      </c>
      <c r="AD36" s="12" t="str">
        <f t="shared" ca="1" si="7"/>
        <v>✔</v>
      </c>
      <c r="AE36" s="12" t="str">
        <f t="shared" ca="1" si="7"/>
        <v>❌</v>
      </c>
      <c r="AF36" s="12" t="str">
        <f t="shared" ca="1" si="7"/>
        <v xml:space="preserve"> L</v>
      </c>
      <c r="AG36" s="12" t="str">
        <f t="shared" ca="1" si="7"/>
        <v>✔</v>
      </c>
      <c r="AH36" s="9">
        <f t="shared" ca="1" si="2"/>
        <v>10</v>
      </c>
      <c r="AI36" s="9">
        <f t="shared" ca="1" si="3"/>
        <v>12</v>
      </c>
      <c r="AJ36" s="9">
        <f t="shared" ca="1" si="4"/>
        <v>9</v>
      </c>
    </row>
    <row r="37" spans="1:36">
      <c r="A37" s="9" t="s">
        <v>155</v>
      </c>
      <c r="B37" s="9" t="str">
        <f>VLOOKUP(A37, Master_Roster!A$2:B$102, 2, FALSE)</f>
        <v>Layla Young</v>
      </c>
      <c r="C37" s="12" t="str">
        <f t="shared" ca="1" si="1"/>
        <v xml:space="preserve"> L</v>
      </c>
      <c r="D37" s="12" t="str">
        <f t="shared" ca="1" si="7"/>
        <v xml:space="preserve"> L</v>
      </c>
      <c r="E37" s="12" t="str">
        <f t="shared" ca="1" si="7"/>
        <v>❌</v>
      </c>
      <c r="F37" s="12" t="str">
        <f t="shared" ca="1" si="7"/>
        <v>✔</v>
      </c>
      <c r="G37" s="12" t="str">
        <f t="shared" ca="1" si="7"/>
        <v>✔</v>
      </c>
      <c r="H37" s="12" t="str">
        <f t="shared" ca="1" si="7"/>
        <v>✔</v>
      </c>
      <c r="I37" s="12" t="str">
        <f t="shared" ca="1" si="7"/>
        <v>✔</v>
      </c>
      <c r="J37" s="12" t="str">
        <f t="shared" ca="1" si="7"/>
        <v>✔</v>
      </c>
      <c r="K37" s="12" t="str">
        <f t="shared" ca="1" si="7"/>
        <v xml:space="preserve"> L</v>
      </c>
      <c r="L37" s="12" t="str">
        <f t="shared" ca="1" si="7"/>
        <v>✔</v>
      </c>
      <c r="M37" s="12" t="str">
        <f t="shared" ca="1" si="7"/>
        <v>✔</v>
      </c>
      <c r="N37" s="12" t="str">
        <f t="shared" ca="1" si="7"/>
        <v>✔</v>
      </c>
      <c r="O37" s="12" t="str">
        <f t="shared" ca="1" si="7"/>
        <v>❌</v>
      </c>
      <c r="P37" s="12" t="str">
        <f t="shared" ca="1" si="7"/>
        <v>❌</v>
      </c>
      <c r="Q37" s="12" t="str">
        <f t="shared" ca="1" si="7"/>
        <v>✔</v>
      </c>
      <c r="R37" s="12" t="str">
        <f t="shared" ca="1" si="7"/>
        <v xml:space="preserve"> L</v>
      </c>
      <c r="S37" s="12" t="str">
        <f t="shared" ca="1" si="7"/>
        <v xml:space="preserve"> L</v>
      </c>
      <c r="T37" s="12" t="str">
        <f t="shared" ca="1" si="7"/>
        <v>✔</v>
      </c>
      <c r="U37" s="12" t="str">
        <f t="shared" ca="1" si="7"/>
        <v>✔</v>
      </c>
      <c r="V37" s="12" t="str">
        <f t="shared" ca="1" si="7"/>
        <v>✔</v>
      </c>
      <c r="W37" s="12" t="str">
        <f t="shared" ca="1" si="7"/>
        <v>❌</v>
      </c>
      <c r="X37" s="12" t="str">
        <f t="shared" ca="1" si="7"/>
        <v>✔</v>
      </c>
      <c r="Y37" s="12" t="str">
        <f t="shared" ca="1" si="7"/>
        <v>✔</v>
      </c>
      <c r="Z37" s="12" t="str">
        <f t="shared" ca="1" si="7"/>
        <v>❌</v>
      </c>
      <c r="AA37" s="12" t="str">
        <f t="shared" ca="1" si="7"/>
        <v>✔</v>
      </c>
      <c r="AB37" s="12" t="str">
        <f t="shared" ca="1" si="7"/>
        <v>✔</v>
      </c>
      <c r="AC37" s="12" t="str">
        <f t="shared" ca="1" si="7"/>
        <v>❌</v>
      </c>
      <c r="AD37" s="12" t="str">
        <f t="shared" ca="1" si="7"/>
        <v xml:space="preserve"> L</v>
      </c>
      <c r="AE37" s="12" t="str">
        <f t="shared" ca="1" si="7"/>
        <v>✔</v>
      </c>
      <c r="AF37" s="12" t="str">
        <f t="shared" ca="1" si="7"/>
        <v>✔</v>
      </c>
      <c r="AG37" s="12" t="str">
        <f t="shared" ca="1" si="7"/>
        <v>❌</v>
      </c>
      <c r="AH37" s="9">
        <f t="shared" ca="1" si="2"/>
        <v>18</v>
      </c>
      <c r="AI37" s="9">
        <f t="shared" ca="1" si="3"/>
        <v>7</v>
      </c>
      <c r="AJ37" s="9">
        <f t="shared" ca="1" si="4"/>
        <v>6</v>
      </c>
    </row>
    <row r="38" spans="1:36">
      <c r="A38" s="9" t="s">
        <v>159</v>
      </c>
      <c r="B38" s="9" t="str">
        <f>VLOOKUP(A38, Master_Roster!A$2:B$102, 2, FALSE)</f>
        <v>Jack Allen</v>
      </c>
      <c r="C38" s="12" t="str">
        <f t="shared" ca="1" si="1"/>
        <v>❌</v>
      </c>
      <c r="D38" s="12" t="str">
        <f t="shared" ca="1" si="7"/>
        <v>✔</v>
      </c>
      <c r="E38" s="12" t="str">
        <f t="shared" ca="1" si="7"/>
        <v xml:space="preserve"> L</v>
      </c>
      <c r="F38" s="12" t="str">
        <f t="shared" ca="1" si="7"/>
        <v>✔</v>
      </c>
      <c r="G38" s="12" t="str">
        <f t="shared" ca="1" si="7"/>
        <v>✔</v>
      </c>
      <c r="H38" s="12" t="str">
        <f t="shared" ca="1" si="7"/>
        <v>❌</v>
      </c>
      <c r="I38" s="12" t="str">
        <f t="shared" ca="1" si="7"/>
        <v xml:space="preserve"> L</v>
      </c>
      <c r="J38" s="12" t="str">
        <f t="shared" ca="1" si="7"/>
        <v>❌</v>
      </c>
      <c r="K38" s="12" t="str">
        <f t="shared" ca="1" si="7"/>
        <v>❌</v>
      </c>
      <c r="L38" s="12" t="str">
        <f t="shared" ca="1" si="7"/>
        <v>❌</v>
      </c>
      <c r="M38" s="12" t="str">
        <f t="shared" ca="1" si="7"/>
        <v xml:space="preserve"> L</v>
      </c>
      <c r="N38" s="12" t="str">
        <f t="shared" ca="1" si="7"/>
        <v>✔</v>
      </c>
      <c r="O38" s="12" t="str">
        <f t="shared" ca="1" si="7"/>
        <v>✔</v>
      </c>
      <c r="P38" s="12" t="str">
        <f t="shared" ca="1" si="7"/>
        <v>❌</v>
      </c>
      <c r="Q38" s="12" t="str">
        <f t="shared" ca="1" si="7"/>
        <v xml:space="preserve"> L</v>
      </c>
      <c r="R38" s="12" t="str">
        <f t="shared" ca="1" si="7"/>
        <v>❌</v>
      </c>
      <c r="S38" s="12" t="str">
        <f t="shared" ref="D38:AG46" ca="1" si="8">CHOOSE(RANDBETWEEN(1, 3), "✔", " L", "❌")</f>
        <v xml:space="preserve"> L</v>
      </c>
      <c r="T38" s="12" t="str">
        <f t="shared" ca="1" si="8"/>
        <v>❌</v>
      </c>
      <c r="U38" s="12" t="str">
        <f t="shared" ca="1" si="8"/>
        <v>✔</v>
      </c>
      <c r="V38" s="12" t="str">
        <f t="shared" ca="1" si="8"/>
        <v>❌</v>
      </c>
      <c r="W38" s="12" t="str">
        <f t="shared" ca="1" si="8"/>
        <v>✔</v>
      </c>
      <c r="X38" s="12" t="str">
        <f t="shared" ca="1" si="8"/>
        <v>✔</v>
      </c>
      <c r="Y38" s="12" t="str">
        <f t="shared" ca="1" si="8"/>
        <v>❌</v>
      </c>
      <c r="Z38" s="12" t="str">
        <f t="shared" ca="1" si="8"/>
        <v xml:space="preserve"> L</v>
      </c>
      <c r="AA38" s="12" t="str">
        <f t="shared" ca="1" si="8"/>
        <v>❌</v>
      </c>
      <c r="AB38" s="12" t="str">
        <f t="shared" ca="1" si="8"/>
        <v>✔</v>
      </c>
      <c r="AC38" s="12" t="str">
        <f t="shared" ca="1" si="8"/>
        <v>✔</v>
      </c>
      <c r="AD38" s="12" t="str">
        <f t="shared" ca="1" si="8"/>
        <v>❌</v>
      </c>
      <c r="AE38" s="12" t="str">
        <f t="shared" ca="1" si="8"/>
        <v>✔</v>
      </c>
      <c r="AF38" s="12" t="str">
        <f t="shared" ca="1" si="8"/>
        <v>✔</v>
      </c>
      <c r="AG38" s="12" t="str">
        <f t="shared" ca="1" si="8"/>
        <v>✔</v>
      </c>
      <c r="AH38" s="9">
        <f t="shared" ca="1" si="2"/>
        <v>13</v>
      </c>
      <c r="AI38" s="9">
        <f t="shared" ca="1" si="3"/>
        <v>12</v>
      </c>
      <c r="AJ38" s="9">
        <f t="shared" ca="1" si="4"/>
        <v>6</v>
      </c>
    </row>
    <row r="39" spans="1:36">
      <c r="A39" s="9" t="s">
        <v>163</v>
      </c>
      <c r="B39" s="9" t="str">
        <f>VLOOKUP(A39, Master_Roster!A$2:B$102, 2, FALSE)</f>
        <v>Riley King</v>
      </c>
      <c r="C39" s="12" t="str">
        <f t="shared" ca="1" si="1"/>
        <v xml:space="preserve"> L</v>
      </c>
      <c r="D39" s="12" t="str">
        <f t="shared" ca="1" si="8"/>
        <v>❌</v>
      </c>
      <c r="E39" s="12" t="str">
        <f t="shared" ca="1" si="8"/>
        <v>❌</v>
      </c>
      <c r="F39" s="12" t="str">
        <f t="shared" ca="1" si="8"/>
        <v>✔</v>
      </c>
      <c r="G39" s="12" t="str">
        <f t="shared" ca="1" si="8"/>
        <v>❌</v>
      </c>
      <c r="H39" s="12" t="str">
        <f t="shared" ca="1" si="8"/>
        <v>❌</v>
      </c>
      <c r="I39" s="12" t="str">
        <f t="shared" ca="1" si="8"/>
        <v>✔</v>
      </c>
      <c r="J39" s="12" t="str">
        <f t="shared" ca="1" si="8"/>
        <v xml:space="preserve"> L</v>
      </c>
      <c r="K39" s="12" t="str">
        <f t="shared" ca="1" si="8"/>
        <v xml:space="preserve"> L</v>
      </c>
      <c r="L39" s="12" t="str">
        <f t="shared" ca="1" si="8"/>
        <v>❌</v>
      </c>
      <c r="M39" s="12" t="str">
        <f t="shared" ca="1" si="8"/>
        <v>✔</v>
      </c>
      <c r="N39" s="12" t="str">
        <f t="shared" ca="1" si="8"/>
        <v xml:space="preserve"> L</v>
      </c>
      <c r="O39" s="12" t="str">
        <f t="shared" ca="1" si="8"/>
        <v>❌</v>
      </c>
      <c r="P39" s="12" t="str">
        <f t="shared" ca="1" si="8"/>
        <v>❌</v>
      </c>
      <c r="Q39" s="12" t="str">
        <f t="shared" ca="1" si="8"/>
        <v xml:space="preserve"> L</v>
      </c>
      <c r="R39" s="12" t="str">
        <f t="shared" ca="1" si="8"/>
        <v xml:space="preserve"> L</v>
      </c>
      <c r="S39" s="12" t="str">
        <f t="shared" ca="1" si="8"/>
        <v xml:space="preserve"> L</v>
      </c>
      <c r="T39" s="12" t="str">
        <f t="shared" ca="1" si="8"/>
        <v xml:space="preserve"> L</v>
      </c>
      <c r="U39" s="12" t="str">
        <f t="shared" ca="1" si="8"/>
        <v>✔</v>
      </c>
      <c r="V39" s="12" t="str">
        <f t="shared" ca="1" si="8"/>
        <v>✔</v>
      </c>
      <c r="W39" s="12" t="str">
        <f t="shared" ca="1" si="8"/>
        <v>❌</v>
      </c>
      <c r="X39" s="12" t="str">
        <f t="shared" ca="1" si="8"/>
        <v xml:space="preserve"> L</v>
      </c>
      <c r="Y39" s="12" t="str">
        <f t="shared" ca="1" si="8"/>
        <v xml:space="preserve"> L</v>
      </c>
      <c r="Z39" s="12" t="str">
        <f t="shared" ca="1" si="8"/>
        <v xml:space="preserve"> L</v>
      </c>
      <c r="AA39" s="12" t="str">
        <f t="shared" ca="1" si="8"/>
        <v>✔</v>
      </c>
      <c r="AB39" s="12" t="str">
        <f t="shared" ca="1" si="8"/>
        <v xml:space="preserve"> L</v>
      </c>
      <c r="AC39" s="12" t="str">
        <f t="shared" ca="1" si="8"/>
        <v>✔</v>
      </c>
      <c r="AD39" s="12" t="str">
        <f t="shared" ca="1" si="8"/>
        <v>✔</v>
      </c>
      <c r="AE39" s="12" t="str">
        <f t="shared" ca="1" si="8"/>
        <v>❌</v>
      </c>
      <c r="AF39" s="12" t="str">
        <f t="shared" ca="1" si="8"/>
        <v>❌</v>
      </c>
      <c r="AG39" s="12" t="str">
        <f t="shared" ca="1" si="8"/>
        <v>✔</v>
      </c>
      <c r="AH39" s="9">
        <f t="shared" ca="1" si="2"/>
        <v>9</v>
      </c>
      <c r="AI39" s="9">
        <f t="shared" ca="1" si="3"/>
        <v>10</v>
      </c>
      <c r="AJ39" s="9">
        <f t="shared" ca="1" si="4"/>
        <v>12</v>
      </c>
    </row>
    <row r="40" spans="1:36">
      <c r="A40" s="9" t="s">
        <v>167</v>
      </c>
      <c r="B40" s="9" t="str">
        <f>VLOOKUP(A40, Master_Roster!A$2:B$102, 2, FALSE)</f>
        <v>Aiden Wright</v>
      </c>
      <c r="C40" s="12" t="str">
        <f t="shared" ca="1" si="1"/>
        <v>❌</v>
      </c>
      <c r="D40" s="12" t="str">
        <f t="shared" ca="1" si="8"/>
        <v>✔</v>
      </c>
      <c r="E40" s="12" t="str">
        <f t="shared" ca="1" si="8"/>
        <v xml:space="preserve"> L</v>
      </c>
      <c r="F40" s="12" t="str">
        <f t="shared" ca="1" si="8"/>
        <v>✔</v>
      </c>
      <c r="G40" s="12" t="str">
        <f t="shared" ca="1" si="8"/>
        <v>❌</v>
      </c>
      <c r="H40" s="12" t="str">
        <f t="shared" ca="1" si="8"/>
        <v>✔</v>
      </c>
      <c r="I40" s="12" t="str">
        <f t="shared" ca="1" si="8"/>
        <v>✔</v>
      </c>
      <c r="J40" s="12" t="str">
        <f t="shared" ca="1" si="8"/>
        <v>❌</v>
      </c>
      <c r="K40" s="12" t="str">
        <f t="shared" ca="1" si="8"/>
        <v>✔</v>
      </c>
      <c r="L40" s="12" t="str">
        <f t="shared" ca="1" si="8"/>
        <v xml:space="preserve"> L</v>
      </c>
      <c r="M40" s="12" t="str">
        <f t="shared" ca="1" si="8"/>
        <v xml:space="preserve"> L</v>
      </c>
      <c r="N40" s="12" t="str">
        <f t="shared" ca="1" si="8"/>
        <v>❌</v>
      </c>
      <c r="O40" s="12" t="str">
        <f t="shared" ca="1" si="8"/>
        <v xml:space="preserve"> L</v>
      </c>
      <c r="P40" s="12" t="str">
        <f t="shared" ca="1" si="8"/>
        <v>❌</v>
      </c>
      <c r="Q40" s="12" t="str">
        <f t="shared" ca="1" si="8"/>
        <v xml:space="preserve"> L</v>
      </c>
      <c r="R40" s="12" t="str">
        <f t="shared" ca="1" si="8"/>
        <v>✔</v>
      </c>
      <c r="S40" s="12" t="str">
        <f t="shared" ca="1" si="8"/>
        <v xml:space="preserve"> L</v>
      </c>
      <c r="T40" s="12" t="str">
        <f t="shared" ca="1" si="8"/>
        <v xml:space="preserve"> L</v>
      </c>
      <c r="U40" s="12" t="str">
        <f t="shared" ca="1" si="8"/>
        <v>✔</v>
      </c>
      <c r="V40" s="12" t="str">
        <f t="shared" ca="1" si="8"/>
        <v>❌</v>
      </c>
      <c r="W40" s="12" t="str">
        <f t="shared" ca="1" si="8"/>
        <v>❌</v>
      </c>
      <c r="X40" s="12" t="str">
        <f t="shared" ca="1" si="8"/>
        <v>❌</v>
      </c>
      <c r="Y40" s="12" t="str">
        <f t="shared" ca="1" si="8"/>
        <v>✔</v>
      </c>
      <c r="Z40" s="12" t="str">
        <f t="shared" ca="1" si="8"/>
        <v xml:space="preserve"> L</v>
      </c>
      <c r="AA40" s="12" t="str">
        <f t="shared" ca="1" si="8"/>
        <v>✔</v>
      </c>
      <c r="AB40" s="12" t="str">
        <f t="shared" ca="1" si="8"/>
        <v xml:space="preserve"> L</v>
      </c>
      <c r="AC40" s="12" t="str">
        <f t="shared" ca="1" si="8"/>
        <v>❌</v>
      </c>
      <c r="AD40" s="12" t="str">
        <f t="shared" ca="1" si="8"/>
        <v xml:space="preserve"> L</v>
      </c>
      <c r="AE40" s="12" t="str">
        <f t="shared" ca="1" si="8"/>
        <v xml:space="preserve"> L</v>
      </c>
      <c r="AF40" s="12" t="str">
        <f t="shared" ca="1" si="8"/>
        <v>✔</v>
      </c>
      <c r="AG40" s="12" t="str">
        <f t="shared" ca="1" si="8"/>
        <v>✔</v>
      </c>
      <c r="AH40" s="9">
        <f t="shared" ca="1" si="2"/>
        <v>11</v>
      </c>
      <c r="AI40" s="9">
        <f t="shared" ca="1" si="3"/>
        <v>9</v>
      </c>
      <c r="AJ40" s="9">
        <f t="shared" ca="1" si="4"/>
        <v>11</v>
      </c>
    </row>
    <row r="41" spans="1:36">
      <c r="A41" s="9" t="s">
        <v>171</v>
      </c>
      <c r="B41" s="9" t="str">
        <f>VLOOKUP(A41, Master_Roster!A$2:B$102, 2, FALSE)</f>
        <v>Zoey Scott</v>
      </c>
      <c r="C41" s="12" t="str">
        <f t="shared" ca="1" si="1"/>
        <v>✔</v>
      </c>
      <c r="D41" s="12" t="str">
        <f t="shared" ca="1" si="8"/>
        <v>✔</v>
      </c>
      <c r="E41" s="12" t="str">
        <f t="shared" ca="1" si="8"/>
        <v xml:space="preserve"> L</v>
      </c>
      <c r="F41" s="12" t="str">
        <f t="shared" ca="1" si="8"/>
        <v>✔</v>
      </c>
      <c r="G41" s="12" t="str">
        <f t="shared" ca="1" si="8"/>
        <v>✔</v>
      </c>
      <c r="H41" s="12" t="str">
        <f t="shared" ca="1" si="8"/>
        <v xml:space="preserve"> L</v>
      </c>
      <c r="I41" s="12" t="str">
        <f t="shared" ca="1" si="8"/>
        <v>❌</v>
      </c>
      <c r="J41" s="12" t="str">
        <f t="shared" ca="1" si="8"/>
        <v>✔</v>
      </c>
      <c r="K41" s="12" t="str">
        <f t="shared" ca="1" si="8"/>
        <v>✔</v>
      </c>
      <c r="L41" s="12" t="str">
        <f t="shared" ca="1" si="8"/>
        <v xml:space="preserve"> L</v>
      </c>
      <c r="M41" s="12" t="str">
        <f t="shared" ca="1" si="8"/>
        <v xml:space="preserve"> L</v>
      </c>
      <c r="N41" s="12" t="str">
        <f t="shared" ca="1" si="8"/>
        <v>✔</v>
      </c>
      <c r="O41" s="12" t="str">
        <f t="shared" ca="1" si="8"/>
        <v>❌</v>
      </c>
      <c r="P41" s="12" t="str">
        <f t="shared" ca="1" si="8"/>
        <v xml:space="preserve"> L</v>
      </c>
      <c r="Q41" s="12" t="str">
        <f t="shared" ca="1" si="8"/>
        <v>❌</v>
      </c>
      <c r="R41" s="12" t="str">
        <f t="shared" ca="1" si="8"/>
        <v>❌</v>
      </c>
      <c r="S41" s="12" t="str">
        <f t="shared" ca="1" si="8"/>
        <v>✔</v>
      </c>
      <c r="T41" s="12" t="str">
        <f t="shared" ca="1" si="8"/>
        <v>✔</v>
      </c>
      <c r="U41" s="12" t="str">
        <f t="shared" ca="1" si="8"/>
        <v>✔</v>
      </c>
      <c r="V41" s="12" t="str">
        <f t="shared" ca="1" si="8"/>
        <v>✔</v>
      </c>
      <c r="W41" s="12" t="str">
        <f t="shared" ca="1" si="8"/>
        <v>❌</v>
      </c>
      <c r="X41" s="12" t="str">
        <f t="shared" ca="1" si="8"/>
        <v xml:space="preserve"> L</v>
      </c>
      <c r="Y41" s="12" t="str">
        <f t="shared" ca="1" si="8"/>
        <v>✔</v>
      </c>
      <c r="Z41" s="12" t="str">
        <f t="shared" ca="1" si="8"/>
        <v xml:space="preserve"> L</v>
      </c>
      <c r="AA41" s="12" t="str">
        <f t="shared" ca="1" si="8"/>
        <v>❌</v>
      </c>
      <c r="AB41" s="12" t="str">
        <f t="shared" ca="1" si="8"/>
        <v>✔</v>
      </c>
      <c r="AC41" s="12" t="str">
        <f t="shared" ca="1" si="8"/>
        <v>✔</v>
      </c>
      <c r="AD41" s="12" t="str">
        <f t="shared" ca="1" si="8"/>
        <v xml:space="preserve"> L</v>
      </c>
      <c r="AE41" s="12" t="str">
        <f t="shared" ca="1" si="8"/>
        <v xml:space="preserve"> L</v>
      </c>
      <c r="AF41" s="12" t="str">
        <f t="shared" ca="1" si="8"/>
        <v>❌</v>
      </c>
      <c r="AG41" s="12" t="str">
        <f t="shared" ca="1" si="8"/>
        <v>✔</v>
      </c>
      <c r="AH41" s="9">
        <f t="shared" ca="1" si="2"/>
        <v>15</v>
      </c>
      <c r="AI41" s="9">
        <f t="shared" ca="1" si="3"/>
        <v>7</v>
      </c>
      <c r="AJ41" s="9">
        <f t="shared" ca="1" si="4"/>
        <v>9</v>
      </c>
    </row>
    <row r="42" spans="1:36">
      <c r="A42" s="9" t="s">
        <v>175</v>
      </c>
      <c r="B42" s="9" t="str">
        <f>VLOOKUP(A42, Master_Roster!A$2:B$102, 2, FALSE)</f>
        <v>Gabriel Torres</v>
      </c>
      <c r="C42" s="12" t="str">
        <f t="shared" ca="1" si="1"/>
        <v>✔</v>
      </c>
      <c r="D42" s="12" t="str">
        <f t="shared" ca="1" si="8"/>
        <v>✔</v>
      </c>
      <c r="E42" s="12" t="str">
        <f t="shared" ca="1" si="8"/>
        <v>✔</v>
      </c>
      <c r="F42" s="12" t="str">
        <f t="shared" ca="1" si="8"/>
        <v>✔</v>
      </c>
      <c r="G42" s="12" t="str">
        <f t="shared" ca="1" si="8"/>
        <v xml:space="preserve"> L</v>
      </c>
      <c r="H42" s="12" t="str">
        <f t="shared" ca="1" si="8"/>
        <v xml:space="preserve"> L</v>
      </c>
      <c r="I42" s="12" t="str">
        <f t="shared" ca="1" si="8"/>
        <v>❌</v>
      </c>
      <c r="J42" s="12" t="str">
        <f t="shared" ca="1" si="8"/>
        <v xml:space="preserve"> L</v>
      </c>
      <c r="K42" s="12" t="str">
        <f t="shared" ca="1" si="8"/>
        <v>✔</v>
      </c>
      <c r="L42" s="12" t="str">
        <f t="shared" ca="1" si="8"/>
        <v xml:space="preserve"> L</v>
      </c>
      <c r="M42" s="12" t="str">
        <f t="shared" ca="1" si="8"/>
        <v xml:space="preserve"> L</v>
      </c>
      <c r="N42" s="12" t="str">
        <f t="shared" ca="1" si="8"/>
        <v>✔</v>
      </c>
      <c r="O42" s="12" t="str">
        <f t="shared" ca="1" si="8"/>
        <v xml:space="preserve"> L</v>
      </c>
      <c r="P42" s="12" t="str">
        <f t="shared" ca="1" si="8"/>
        <v xml:space="preserve"> L</v>
      </c>
      <c r="Q42" s="12" t="str">
        <f t="shared" ca="1" si="8"/>
        <v xml:space="preserve"> L</v>
      </c>
      <c r="R42" s="12" t="str">
        <f t="shared" ca="1" si="8"/>
        <v xml:space="preserve"> L</v>
      </c>
      <c r="S42" s="12" t="str">
        <f t="shared" ca="1" si="8"/>
        <v xml:space="preserve"> L</v>
      </c>
      <c r="T42" s="12" t="str">
        <f t="shared" ca="1" si="8"/>
        <v>❌</v>
      </c>
      <c r="U42" s="12" t="str">
        <f t="shared" ca="1" si="8"/>
        <v>✔</v>
      </c>
      <c r="V42" s="12" t="str">
        <f t="shared" ca="1" si="8"/>
        <v>✔</v>
      </c>
      <c r="W42" s="12" t="str">
        <f t="shared" ca="1" si="8"/>
        <v>❌</v>
      </c>
      <c r="X42" s="12" t="str">
        <f t="shared" ca="1" si="8"/>
        <v>✔</v>
      </c>
      <c r="Y42" s="12" t="str">
        <f t="shared" ca="1" si="8"/>
        <v>✔</v>
      </c>
      <c r="Z42" s="12" t="str">
        <f t="shared" ca="1" si="8"/>
        <v xml:space="preserve"> L</v>
      </c>
      <c r="AA42" s="12" t="str">
        <f t="shared" ca="1" si="8"/>
        <v xml:space="preserve"> L</v>
      </c>
      <c r="AB42" s="12" t="str">
        <f t="shared" ca="1" si="8"/>
        <v xml:space="preserve"> L</v>
      </c>
      <c r="AC42" s="12" t="str">
        <f t="shared" ca="1" si="8"/>
        <v>❌</v>
      </c>
      <c r="AD42" s="12" t="str">
        <f t="shared" ca="1" si="8"/>
        <v>❌</v>
      </c>
      <c r="AE42" s="12" t="str">
        <f t="shared" ca="1" si="8"/>
        <v xml:space="preserve"> L</v>
      </c>
      <c r="AF42" s="12" t="str">
        <f t="shared" ca="1" si="8"/>
        <v>❌</v>
      </c>
      <c r="AG42" s="12" t="str">
        <f t="shared" ca="1" si="8"/>
        <v>❌</v>
      </c>
      <c r="AH42" s="9">
        <f t="shared" ca="1" si="2"/>
        <v>10</v>
      </c>
      <c r="AI42" s="9">
        <f t="shared" ca="1" si="3"/>
        <v>7</v>
      </c>
      <c r="AJ42" s="9">
        <f t="shared" ca="1" si="4"/>
        <v>14</v>
      </c>
    </row>
    <row r="43" spans="1:36">
      <c r="A43" s="9" t="s">
        <v>179</v>
      </c>
      <c r="B43" s="9" t="str">
        <f>VLOOKUP(A43, Master_Roster!A$2:B$102, 2, FALSE)</f>
        <v>Nora Nguyen</v>
      </c>
      <c r="C43" s="12" t="str">
        <f t="shared" ca="1" si="1"/>
        <v>✔</v>
      </c>
      <c r="D43" s="12" t="str">
        <f t="shared" ca="1" si="8"/>
        <v xml:space="preserve"> L</v>
      </c>
      <c r="E43" s="12" t="str">
        <f t="shared" ca="1" si="8"/>
        <v>✔</v>
      </c>
      <c r="F43" s="12" t="str">
        <f t="shared" ca="1" si="8"/>
        <v xml:space="preserve"> L</v>
      </c>
      <c r="G43" s="12" t="str">
        <f t="shared" ca="1" si="8"/>
        <v>❌</v>
      </c>
      <c r="H43" s="12" t="str">
        <f t="shared" ca="1" si="8"/>
        <v>❌</v>
      </c>
      <c r="I43" s="12" t="str">
        <f t="shared" ca="1" si="8"/>
        <v xml:space="preserve"> L</v>
      </c>
      <c r="J43" s="12" t="str">
        <f t="shared" ca="1" si="8"/>
        <v xml:space="preserve"> L</v>
      </c>
      <c r="K43" s="12" t="str">
        <f t="shared" ca="1" si="8"/>
        <v xml:space="preserve"> L</v>
      </c>
      <c r="L43" s="12" t="str">
        <f t="shared" ca="1" si="8"/>
        <v xml:space="preserve"> L</v>
      </c>
      <c r="M43" s="12" t="str">
        <f t="shared" ca="1" si="8"/>
        <v>❌</v>
      </c>
      <c r="N43" s="12" t="str">
        <f t="shared" ca="1" si="8"/>
        <v>✔</v>
      </c>
      <c r="O43" s="12" t="str">
        <f t="shared" ca="1" si="8"/>
        <v xml:space="preserve"> L</v>
      </c>
      <c r="P43" s="12" t="str">
        <f t="shared" ca="1" si="8"/>
        <v xml:space="preserve"> L</v>
      </c>
      <c r="Q43" s="12" t="str">
        <f t="shared" ca="1" si="8"/>
        <v>❌</v>
      </c>
      <c r="R43" s="12" t="str">
        <f t="shared" ca="1" si="8"/>
        <v>❌</v>
      </c>
      <c r="S43" s="12" t="str">
        <f t="shared" ca="1" si="8"/>
        <v>✔</v>
      </c>
      <c r="T43" s="12" t="str">
        <f t="shared" ca="1" si="8"/>
        <v>✔</v>
      </c>
      <c r="U43" s="12" t="str">
        <f t="shared" ca="1" si="8"/>
        <v>❌</v>
      </c>
      <c r="V43" s="12" t="str">
        <f t="shared" ca="1" si="8"/>
        <v>❌</v>
      </c>
      <c r="W43" s="12" t="str">
        <f t="shared" ca="1" si="8"/>
        <v>✔</v>
      </c>
      <c r="X43" s="12" t="str">
        <f t="shared" ca="1" si="8"/>
        <v xml:space="preserve"> L</v>
      </c>
      <c r="Y43" s="12" t="str">
        <f t="shared" ca="1" si="8"/>
        <v>❌</v>
      </c>
      <c r="Z43" s="12" t="str">
        <f t="shared" ca="1" si="8"/>
        <v>❌</v>
      </c>
      <c r="AA43" s="12" t="str">
        <f t="shared" ca="1" si="8"/>
        <v>❌</v>
      </c>
      <c r="AB43" s="12" t="str">
        <f t="shared" ca="1" si="8"/>
        <v>✔</v>
      </c>
      <c r="AC43" s="12" t="str">
        <f t="shared" ca="1" si="8"/>
        <v xml:space="preserve"> L</v>
      </c>
      <c r="AD43" s="12" t="str">
        <f t="shared" ca="1" si="8"/>
        <v>✔</v>
      </c>
      <c r="AE43" s="12" t="str">
        <f t="shared" ca="1" si="8"/>
        <v>✔</v>
      </c>
      <c r="AF43" s="12" t="str">
        <f t="shared" ca="1" si="8"/>
        <v>❌</v>
      </c>
      <c r="AG43" s="12" t="str">
        <f t="shared" ca="1" si="8"/>
        <v xml:space="preserve"> L</v>
      </c>
      <c r="AH43" s="9">
        <f t="shared" ca="1" si="2"/>
        <v>9</v>
      </c>
      <c r="AI43" s="9">
        <f t="shared" ca="1" si="3"/>
        <v>11</v>
      </c>
      <c r="AJ43" s="9">
        <f t="shared" ca="1" si="4"/>
        <v>11</v>
      </c>
    </row>
    <row r="44" spans="1:36">
      <c r="A44" s="9" t="s">
        <v>183</v>
      </c>
      <c r="B44" s="9" t="str">
        <f>VLOOKUP(A44, Master_Roster!A$2:B$102, 2, FALSE)</f>
        <v>Samual Hill</v>
      </c>
      <c r="C44" s="12" t="str">
        <f t="shared" ca="1" si="1"/>
        <v>❌</v>
      </c>
      <c r="D44" s="12" t="str">
        <f t="shared" ca="1" si="8"/>
        <v>❌</v>
      </c>
      <c r="E44" s="12" t="str">
        <f t="shared" ca="1" si="8"/>
        <v>✔</v>
      </c>
      <c r="F44" s="12" t="str">
        <f t="shared" ca="1" si="8"/>
        <v>✔</v>
      </c>
      <c r="G44" s="12" t="str">
        <f t="shared" ca="1" si="8"/>
        <v>❌</v>
      </c>
      <c r="H44" s="12" t="str">
        <f t="shared" ca="1" si="8"/>
        <v>❌</v>
      </c>
      <c r="I44" s="12" t="str">
        <f t="shared" ca="1" si="8"/>
        <v xml:space="preserve"> L</v>
      </c>
      <c r="J44" s="12" t="str">
        <f t="shared" ca="1" si="8"/>
        <v>❌</v>
      </c>
      <c r="K44" s="12" t="str">
        <f t="shared" ca="1" si="8"/>
        <v>❌</v>
      </c>
      <c r="L44" s="12" t="str">
        <f t="shared" ca="1" si="8"/>
        <v>✔</v>
      </c>
      <c r="M44" s="12" t="str">
        <f t="shared" ca="1" si="8"/>
        <v xml:space="preserve"> L</v>
      </c>
      <c r="N44" s="12" t="str">
        <f t="shared" ca="1" si="8"/>
        <v xml:space="preserve"> L</v>
      </c>
      <c r="O44" s="12" t="str">
        <f t="shared" ca="1" si="8"/>
        <v>✔</v>
      </c>
      <c r="P44" s="12" t="str">
        <f t="shared" ca="1" si="8"/>
        <v xml:space="preserve"> L</v>
      </c>
      <c r="Q44" s="12" t="str">
        <f t="shared" ca="1" si="8"/>
        <v>❌</v>
      </c>
      <c r="R44" s="12" t="str">
        <f t="shared" ca="1" si="8"/>
        <v>❌</v>
      </c>
      <c r="S44" s="12" t="str">
        <f t="shared" ca="1" si="8"/>
        <v xml:space="preserve"> L</v>
      </c>
      <c r="T44" s="12" t="str">
        <f t="shared" ca="1" si="8"/>
        <v>✔</v>
      </c>
      <c r="U44" s="12" t="str">
        <f t="shared" ca="1" si="8"/>
        <v>❌</v>
      </c>
      <c r="V44" s="12" t="str">
        <f t="shared" ca="1" si="8"/>
        <v>❌</v>
      </c>
      <c r="W44" s="12" t="str">
        <f t="shared" ca="1" si="8"/>
        <v>✔</v>
      </c>
      <c r="X44" s="12" t="str">
        <f t="shared" ca="1" si="8"/>
        <v>✔</v>
      </c>
      <c r="Y44" s="12" t="str">
        <f t="shared" ca="1" si="8"/>
        <v>✔</v>
      </c>
      <c r="Z44" s="12" t="str">
        <f t="shared" ca="1" si="8"/>
        <v xml:space="preserve"> L</v>
      </c>
      <c r="AA44" s="12" t="str">
        <f t="shared" ca="1" si="8"/>
        <v>❌</v>
      </c>
      <c r="AB44" s="12" t="str">
        <f t="shared" ca="1" si="8"/>
        <v xml:space="preserve"> L</v>
      </c>
      <c r="AC44" s="12" t="str">
        <f t="shared" ca="1" si="8"/>
        <v>❌</v>
      </c>
      <c r="AD44" s="12" t="str">
        <f t="shared" ca="1" si="8"/>
        <v>❌</v>
      </c>
      <c r="AE44" s="12" t="str">
        <f t="shared" ca="1" si="8"/>
        <v>❌</v>
      </c>
      <c r="AF44" s="12" t="str">
        <f t="shared" ca="1" si="8"/>
        <v xml:space="preserve"> L</v>
      </c>
      <c r="AG44" s="12" t="str">
        <f t="shared" ca="1" si="8"/>
        <v xml:space="preserve"> L</v>
      </c>
      <c r="AH44" s="9">
        <f t="shared" ca="1" si="2"/>
        <v>8</v>
      </c>
      <c r="AI44" s="9">
        <f t="shared" ca="1" si="3"/>
        <v>14</v>
      </c>
      <c r="AJ44" s="9">
        <f t="shared" ca="1" si="4"/>
        <v>9</v>
      </c>
    </row>
    <row r="45" spans="1:36">
      <c r="A45" s="9" t="s">
        <v>187</v>
      </c>
      <c r="B45" s="9" t="str">
        <f>VLOOKUP(A45, Master_Roster!A$2:B$102, 2, FALSE)</f>
        <v>Lily Flores</v>
      </c>
      <c r="C45" s="12" t="str">
        <f t="shared" ca="1" si="1"/>
        <v xml:space="preserve"> L</v>
      </c>
      <c r="D45" s="12" t="str">
        <f t="shared" ca="1" si="8"/>
        <v>❌</v>
      </c>
      <c r="E45" s="12" t="str">
        <f t="shared" ca="1" si="8"/>
        <v>❌</v>
      </c>
      <c r="F45" s="12" t="str">
        <f t="shared" ca="1" si="8"/>
        <v>❌</v>
      </c>
      <c r="G45" s="12" t="str">
        <f t="shared" ca="1" si="8"/>
        <v xml:space="preserve"> L</v>
      </c>
      <c r="H45" s="12" t="str">
        <f t="shared" ca="1" si="8"/>
        <v>❌</v>
      </c>
      <c r="I45" s="12" t="str">
        <f t="shared" ca="1" si="8"/>
        <v xml:space="preserve"> L</v>
      </c>
      <c r="J45" s="12" t="str">
        <f t="shared" ca="1" si="8"/>
        <v>❌</v>
      </c>
      <c r="K45" s="12" t="str">
        <f t="shared" ca="1" si="8"/>
        <v>✔</v>
      </c>
      <c r="L45" s="12" t="str">
        <f t="shared" ca="1" si="8"/>
        <v>✔</v>
      </c>
      <c r="M45" s="12" t="str">
        <f t="shared" ca="1" si="8"/>
        <v xml:space="preserve"> L</v>
      </c>
      <c r="N45" s="12" t="str">
        <f t="shared" ca="1" si="8"/>
        <v>✔</v>
      </c>
      <c r="O45" s="12" t="str">
        <f t="shared" ca="1" si="8"/>
        <v xml:space="preserve"> L</v>
      </c>
      <c r="P45" s="12" t="str">
        <f t="shared" ca="1" si="8"/>
        <v>✔</v>
      </c>
      <c r="Q45" s="12" t="str">
        <f t="shared" ca="1" si="8"/>
        <v>❌</v>
      </c>
      <c r="R45" s="12" t="str">
        <f t="shared" ca="1" si="8"/>
        <v>✔</v>
      </c>
      <c r="S45" s="12" t="str">
        <f t="shared" ca="1" si="8"/>
        <v>✔</v>
      </c>
      <c r="T45" s="12" t="str">
        <f t="shared" ca="1" si="8"/>
        <v>✔</v>
      </c>
      <c r="U45" s="12" t="str">
        <f t="shared" ca="1" si="8"/>
        <v>✔</v>
      </c>
      <c r="V45" s="12" t="str">
        <f t="shared" ca="1" si="8"/>
        <v>❌</v>
      </c>
      <c r="W45" s="12" t="str">
        <f t="shared" ca="1" si="8"/>
        <v>✔</v>
      </c>
      <c r="X45" s="12" t="str">
        <f t="shared" ca="1" si="8"/>
        <v>✔</v>
      </c>
      <c r="Y45" s="12" t="str">
        <f t="shared" ca="1" si="8"/>
        <v>❌</v>
      </c>
      <c r="Z45" s="12" t="str">
        <f t="shared" ca="1" si="8"/>
        <v>❌</v>
      </c>
      <c r="AA45" s="12" t="str">
        <f t="shared" ca="1" si="8"/>
        <v>❌</v>
      </c>
      <c r="AB45" s="12" t="str">
        <f t="shared" ca="1" si="8"/>
        <v xml:space="preserve"> L</v>
      </c>
      <c r="AC45" s="12" t="str">
        <f t="shared" ca="1" si="8"/>
        <v>❌</v>
      </c>
      <c r="AD45" s="12" t="str">
        <f t="shared" ca="1" si="8"/>
        <v xml:space="preserve"> L</v>
      </c>
      <c r="AE45" s="12" t="str">
        <f t="shared" ca="1" si="8"/>
        <v xml:space="preserve"> L</v>
      </c>
      <c r="AF45" s="12" t="str">
        <f t="shared" ca="1" si="8"/>
        <v>✔</v>
      </c>
      <c r="AG45" s="12" t="str">
        <f t="shared" ca="1" si="8"/>
        <v>❌</v>
      </c>
      <c r="AH45" s="9">
        <f t="shared" ca="1" si="2"/>
        <v>11</v>
      </c>
      <c r="AI45" s="9">
        <f t="shared" ca="1" si="3"/>
        <v>12</v>
      </c>
      <c r="AJ45" s="9">
        <f t="shared" ca="1" si="4"/>
        <v>8</v>
      </c>
    </row>
    <row r="46" spans="1:36">
      <c r="A46" s="9" t="s">
        <v>191</v>
      </c>
      <c r="B46" s="9" t="str">
        <f>VLOOKUP(A46, Master_Roster!A$2:B$102, 2, FALSE)</f>
        <v>David Green</v>
      </c>
      <c r="C46" s="12" t="str">
        <f t="shared" ca="1" si="1"/>
        <v xml:space="preserve"> L</v>
      </c>
      <c r="D46" s="12" t="str">
        <f t="shared" ca="1" si="8"/>
        <v>❌</v>
      </c>
      <c r="E46" s="12" t="str">
        <f t="shared" ca="1" si="8"/>
        <v>❌</v>
      </c>
      <c r="F46" s="12" t="str">
        <f t="shared" ca="1" si="8"/>
        <v>❌</v>
      </c>
      <c r="G46" s="12" t="str">
        <f t="shared" ca="1" si="8"/>
        <v>✔</v>
      </c>
      <c r="H46" s="12" t="str">
        <f t="shared" ca="1" si="8"/>
        <v>✔</v>
      </c>
      <c r="I46" s="12" t="str">
        <f t="shared" ca="1" si="8"/>
        <v xml:space="preserve"> L</v>
      </c>
      <c r="J46" s="12" t="str">
        <f t="shared" ca="1" si="8"/>
        <v>❌</v>
      </c>
      <c r="K46" s="12" t="str">
        <f t="shared" ca="1" si="8"/>
        <v>✔</v>
      </c>
      <c r="L46" s="12" t="str">
        <f t="shared" ca="1" si="8"/>
        <v>❌</v>
      </c>
      <c r="M46" s="12" t="str">
        <f t="shared" ca="1" si="8"/>
        <v xml:space="preserve"> L</v>
      </c>
      <c r="N46" s="12" t="str">
        <f t="shared" ca="1" si="8"/>
        <v>❌</v>
      </c>
      <c r="O46" s="12" t="str">
        <f t="shared" ca="1" si="8"/>
        <v>❌</v>
      </c>
      <c r="P46" s="12" t="str">
        <f t="shared" ca="1" si="8"/>
        <v>✔</v>
      </c>
      <c r="Q46" s="12" t="str">
        <f t="shared" ca="1" si="8"/>
        <v>✔</v>
      </c>
      <c r="R46" s="12" t="str">
        <f t="shared" ca="1" si="8"/>
        <v>❌</v>
      </c>
      <c r="S46" s="12" t="str">
        <f t="shared" ca="1" si="8"/>
        <v>✔</v>
      </c>
      <c r="T46" s="12" t="str">
        <f t="shared" ca="1" si="8"/>
        <v xml:space="preserve"> L</v>
      </c>
      <c r="U46" s="12" t="str">
        <f t="shared" ca="1" si="8"/>
        <v>✔</v>
      </c>
      <c r="V46" s="12" t="str">
        <f t="shared" ca="1" si="8"/>
        <v xml:space="preserve"> L</v>
      </c>
      <c r="W46" s="12" t="str">
        <f t="shared" ca="1" si="8"/>
        <v>✔</v>
      </c>
      <c r="X46" s="12" t="str">
        <f t="shared" ca="1" si="8"/>
        <v>✔</v>
      </c>
      <c r="Y46" s="12" t="str">
        <f t="shared" ca="1" si="8"/>
        <v xml:space="preserve"> L</v>
      </c>
      <c r="Z46" s="12" t="str">
        <f t="shared" ca="1" si="8"/>
        <v>✔</v>
      </c>
      <c r="AA46" s="12" t="str">
        <f t="shared" ca="1" si="8"/>
        <v>❌</v>
      </c>
      <c r="AB46" s="12" t="str">
        <f t="shared" ca="1" si="8"/>
        <v>✔</v>
      </c>
      <c r="AC46" s="12" t="str">
        <f t="shared" ca="1" si="8"/>
        <v>❌</v>
      </c>
      <c r="AD46" s="12" t="str">
        <f t="shared" ca="1" si="8"/>
        <v>✔</v>
      </c>
      <c r="AE46" s="12" t="str">
        <f t="shared" ca="1" si="8"/>
        <v xml:space="preserve"> L</v>
      </c>
      <c r="AF46" s="12" t="str">
        <f t="shared" ca="1" si="8"/>
        <v xml:space="preserve"> L</v>
      </c>
      <c r="AG46" s="12" t="str">
        <f t="shared" ca="1" si="8"/>
        <v xml:space="preserve"> L</v>
      </c>
      <c r="AH46" s="9">
        <f t="shared" ca="1" si="2"/>
        <v>12</v>
      </c>
      <c r="AI46" s="9">
        <f t="shared" ca="1" si="3"/>
        <v>10</v>
      </c>
      <c r="AJ46" s="9">
        <f t="shared" ca="1" si="4"/>
        <v>9</v>
      </c>
    </row>
    <row r="47" spans="1:36">
      <c r="A47" s="9" t="s">
        <v>195</v>
      </c>
      <c r="B47" s="9" t="str">
        <f>VLOOKUP(A47, Master_Roster!A$2:B$102, 2, FALSE)</f>
        <v>Eleanor Adams</v>
      </c>
      <c r="C47" s="12" t="str">
        <f t="shared" ca="1" si="1"/>
        <v xml:space="preserve"> L</v>
      </c>
      <c r="D47" s="12" t="str">
        <f t="shared" ref="D47:AG55" ca="1" si="9">CHOOSE(RANDBETWEEN(1, 3), "✔", " L", "❌")</f>
        <v xml:space="preserve"> L</v>
      </c>
      <c r="E47" s="12" t="str">
        <f t="shared" ca="1" si="9"/>
        <v>❌</v>
      </c>
      <c r="F47" s="12" t="str">
        <f t="shared" ca="1" si="9"/>
        <v xml:space="preserve"> L</v>
      </c>
      <c r="G47" s="12" t="str">
        <f t="shared" ca="1" si="9"/>
        <v>✔</v>
      </c>
      <c r="H47" s="12" t="str">
        <f t="shared" ca="1" si="9"/>
        <v>✔</v>
      </c>
      <c r="I47" s="12" t="str">
        <f t="shared" ca="1" si="9"/>
        <v>✔</v>
      </c>
      <c r="J47" s="12" t="str">
        <f t="shared" ca="1" si="9"/>
        <v xml:space="preserve"> L</v>
      </c>
      <c r="K47" s="12" t="str">
        <f t="shared" ca="1" si="9"/>
        <v xml:space="preserve"> L</v>
      </c>
      <c r="L47" s="12" t="str">
        <f t="shared" ca="1" si="9"/>
        <v>✔</v>
      </c>
      <c r="M47" s="12" t="str">
        <f t="shared" ca="1" si="9"/>
        <v xml:space="preserve"> L</v>
      </c>
      <c r="N47" s="12" t="str">
        <f t="shared" ca="1" si="9"/>
        <v>❌</v>
      </c>
      <c r="O47" s="12" t="str">
        <f t="shared" ca="1" si="9"/>
        <v xml:space="preserve"> L</v>
      </c>
      <c r="P47" s="12" t="str">
        <f t="shared" ca="1" si="9"/>
        <v>✔</v>
      </c>
      <c r="Q47" s="12" t="str">
        <f t="shared" ca="1" si="9"/>
        <v>❌</v>
      </c>
      <c r="R47" s="12" t="str">
        <f t="shared" ca="1" si="9"/>
        <v>❌</v>
      </c>
      <c r="S47" s="12" t="str">
        <f t="shared" ca="1" si="9"/>
        <v xml:space="preserve"> L</v>
      </c>
      <c r="T47" s="12" t="str">
        <f t="shared" ca="1" si="9"/>
        <v>❌</v>
      </c>
      <c r="U47" s="12" t="str">
        <f t="shared" ca="1" si="9"/>
        <v xml:space="preserve"> L</v>
      </c>
      <c r="V47" s="12" t="str">
        <f t="shared" ca="1" si="9"/>
        <v xml:space="preserve"> L</v>
      </c>
      <c r="W47" s="12" t="str">
        <f t="shared" ca="1" si="9"/>
        <v xml:space="preserve"> L</v>
      </c>
      <c r="X47" s="12" t="str">
        <f t="shared" ca="1" si="9"/>
        <v>❌</v>
      </c>
      <c r="Y47" s="12" t="str">
        <f t="shared" ca="1" si="9"/>
        <v>❌</v>
      </c>
      <c r="Z47" s="12" t="str">
        <f t="shared" ca="1" si="9"/>
        <v>✔</v>
      </c>
      <c r="AA47" s="12" t="str">
        <f t="shared" ca="1" si="9"/>
        <v xml:space="preserve"> L</v>
      </c>
      <c r="AB47" s="12" t="str">
        <f t="shared" ca="1" si="9"/>
        <v xml:space="preserve"> L</v>
      </c>
      <c r="AC47" s="12" t="str">
        <f t="shared" ca="1" si="9"/>
        <v>✔</v>
      </c>
      <c r="AD47" s="12" t="str">
        <f t="shared" ca="1" si="9"/>
        <v xml:space="preserve"> L</v>
      </c>
      <c r="AE47" s="12" t="str">
        <f t="shared" ca="1" si="9"/>
        <v>❌</v>
      </c>
      <c r="AF47" s="12" t="str">
        <f t="shared" ca="1" si="9"/>
        <v xml:space="preserve"> L</v>
      </c>
      <c r="AG47" s="12" t="str">
        <f t="shared" ca="1" si="9"/>
        <v>❌</v>
      </c>
      <c r="AH47" s="9">
        <f t="shared" ca="1" si="2"/>
        <v>7</v>
      </c>
      <c r="AI47" s="9">
        <f t="shared" ca="1" si="3"/>
        <v>9</v>
      </c>
      <c r="AJ47" s="9">
        <f t="shared" ca="1" si="4"/>
        <v>15</v>
      </c>
    </row>
    <row r="48" spans="1:36">
      <c r="A48" s="9" t="s">
        <v>199</v>
      </c>
      <c r="B48" s="9" t="str">
        <f>VLOOKUP(A48, Master_Roster!A$2:B$102, 2, FALSE)</f>
        <v>Carter Nelson</v>
      </c>
      <c r="C48" s="12" t="str">
        <f t="shared" ca="1" si="1"/>
        <v>✔</v>
      </c>
      <c r="D48" s="12" t="str">
        <f t="shared" ca="1" si="9"/>
        <v>❌</v>
      </c>
      <c r="E48" s="12" t="str">
        <f t="shared" ca="1" si="9"/>
        <v xml:space="preserve"> L</v>
      </c>
      <c r="F48" s="12" t="str">
        <f t="shared" ca="1" si="9"/>
        <v xml:space="preserve"> L</v>
      </c>
      <c r="G48" s="12" t="str">
        <f t="shared" ca="1" si="9"/>
        <v>✔</v>
      </c>
      <c r="H48" s="12" t="str">
        <f t="shared" ca="1" si="9"/>
        <v>✔</v>
      </c>
      <c r="I48" s="12" t="str">
        <f t="shared" ca="1" si="9"/>
        <v>✔</v>
      </c>
      <c r="J48" s="12" t="str">
        <f t="shared" ca="1" si="9"/>
        <v xml:space="preserve"> L</v>
      </c>
      <c r="K48" s="12" t="str">
        <f t="shared" ca="1" si="9"/>
        <v>❌</v>
      </c>
      <c r="L48" s="12" t="str">
        <f t="shared" ca="1" si="9"/>
        <v>❌</v>
      </c>
      <c r="M48" s="12" t="str">
        <f t="shared" ca="1" si="9"/>
        <v>❌</v>
      </c>
      <c r="N48" s="12" t="str">
        <f t="shared" ca="1" si="9"/>
        <v>✔</v>
      </c>
      <c r="O48" s="12" t="str">
        <f t="shared" ca="1" si="9"/>
        <v xml:space="preserve"> L</v>
      </c>
      <c r="P48" s="12" t="str">
        <f t="shared" ca="1" si="9"/>
        <v>✔</v>
      </c>
      <c r="Q48" s="12" t="str">
        <f t="shared" ca="1" si="9"/>
        <v>✔</v>
      </c>
      <c r="R48" s="12" t="str">
        <f t="shared" ca="1" si="9"/>
        <v>❌</v>
      </c>
      <c r="S48" s="12" t="str">
        <f t="shared" ca="1" si="9"/>
        <v>❌</v>
      </c>
      <c r="T48" s="12" t="str">
        <f t="shared" ca="1" si="9"/>
        <v>✔</v>
      </c>
      <c r="U48" s="12" t="str">
        <f t="shared" ca="1" si="9"/>
        <v xml:space="preserve"> L</v>
      </c>
      <c r="V48" s="12" t="str">
        <f t="shared" ca="1" si="9"/>
        <v>❌</v>
      </c>
      <c r="W48" s="12" t="str">
        <f t="shared" ca="1" si="9"/>
        <v>✔</v>
      </c>
      <c r="X48" s="12" t="str">
        <f t="shared" ca="1" si="9"/>
        <v>✔</v>
      </c>
      <c r="Y48" s="12" t="str">
        <f t="shared" ca="1" si="9"/>
        <v>✔</v>
      </c>
      <c r="Z48" s="12" t="str">
        <f t="shared" ca="1" si="9"/>
        <v>❌</v>
      </c>
      <c r="AA48" s="12" t="str">
        <f t="shared" ca="1" si="9"/>
        <v>❌</v>
      </c>
      <c r="AB48" s="12" t="str">
        <f t="shared" ca="1" si="9"/>
        <v xml:space="preserve"> L</v>
      </c>
      <c r="AC48" s="12" t="str">
        <f t="shared" ca="1" si="9"/>
        <v xml:space="preserve"> L</v>
      </c>
      <c r="AD48" s="12" t="str">
        <f t="shared" ca="1" si="9"/>
        <v xml:space="preserve"> L</v>
      </c>
      <c r="AE48" s="12" t="str">
        <f t="shared" ca="1" si="9"/>
        <v>✔</v>
      </c>
      <c r="AF48" s="12" t="str">
        <f t="shared" ca="1" si="9"/>
        <v>❌</v>
      </c>
      <c r="AG48" s="12" t="str">
        <f t="shared" ca="1" si="9"/>
        <v>❌</v>
      </c>
      <c r="AH48" s="9">
        <f t="shared" ca="1" si="2"/>
        <v>12</v>
      </c>
      <c r="AI48" s="9">
        <f t="shared" ca="1" si="3"/>
        <v>11</v>
      </c>
      <c r="AJ48" s="9">
        <f t="shared" ca="1" si="4"/>
        <v>8</v>
      </c>
    </row>
    <row r="49" spans="1:36">
      <c r="A49" s="9" t="s">
        <v>203</v>
      </c>
      <c r="B49" s="9" t="str">
        <f>VLOOKUP(A49, Master_Roster!A$2:B$102, 2, FALSE)</f>
        <v>Hannah Baker</v>
      </c>
      <c r="C49" s="12" t="str">
        <f t="shared" ca="1" si="1"/>
        <v>❌</v>
      </c>
      <c r="D49" s="12" t="str">
        <f t="shared" ca="1" si="9"/>
        <v xml:space="preserve"> L</v>
      </c>
      <c r="E49" s="12" t="str">
        <f t="shared" ca="1" si="9"/>
        <v>✔</v>
      </c>
      <c r="F49" s="12" t="str">
        <f t="shared" ca="1" si="9"/>
        <v>❌</v>
      </c>
      <c r="G49" s="12" t="str">
        <f t="shared" ca="1" si="9"/>
        <v xml:space="preserve"> L</v>
      </c>
      <c r="H49" s="12" t="str">
        <f t="shared" ca="1" si="9"/>
        <v>✔</v>
      </c>
      <c r="I49" s="12" t="str">
        <f t="shared" ca="1" si="9"/>
        <v>❌</v>
      </c>
      <c r="J49" s="12" t="str">
        <f t="shared" ca="1" si="9"/>
        <v>✔</v>
      </c>
      <c r="K49" s="12" t="str">
        <f t="shared" ca="1" si="9"/>
        <v xml:space="preserve"> L</v>
      </c>
      <c r="L49" s="12" t="str">
        <f t="shared" ca="1" si="9"/>
        <v>❌</v>
      </c>
      <c r="M49" s="12" t="str">
        <f t="shared" ca="1" si="9"/>
        <v>❌</v>
      </c>
      <c r="N49" s="12" t="str">
        <f t="shared" ca="1" si="9"/>
        <v xml:space="preserve"> L</v>
      </c>
      <c r="O49" s="12" t="str">
        <f t="shared" ca="1" si="9"/>
        <v>✔</v>
      </c>
      <c r="P49" s="12" t="str">
        <f t="shared" ca="1" si="9"/>
        <v>❌</v>
      </c>
      <c r="Q49" s="12" t="str">
        <f t="shared" ca="1" si="9"/>
        <v xml:space="preserve"> L</v>
      </c>
      <c r="R49" s="12" t="str">
        <f t="shared" ca="1" si="9"/>
        <v xml:space="preserve"> L</v>
      </c>
      <c r="S49" s="12" t="str">
        <f t="shared" ca="1" si="9"/>
        <v>❌</v>
      </c>
      <c r="T49" s="12" t="str">
        <f t="shared" ca="1" si="9"/>
        <v>✔</v>
      </c>
      <c r="U49" s="12" t="str">
        <f t="shared" ca="1" si="9"/>
        <v>✔</v>
      </c>
      <c r="V49" s="12" t="str">
        <f t="shared" ca="1" si="9"/>
        <v xml:space="preserve"> L</v>
      </c>
      <c r="W49" s="12" t="str">
        <f t="shared" ca="1" si="9"/>
        <v xml:space="preserve"> L</v>
      </c>
      <c r="X49" s="12" t="str">
        <f t="shared" ca="1" si="9"/>
        <v>❌</v>
      </c>
      <c r="Y49" s="12" t="str">
        <f t="shared" ca="1" si="9"/>
        <v>✔</v>
      </c>
      <c r="Z49" s="12" t="str">
        <f t="shared" ca="1" si="9"/>
        <v>❌</v>
      </c>
      <c r="AA49" s="12" t="str">
        <f t="shared" ca="1" si="9"/>
        <v>❌</v>
      </c>
      <c r="AB49" s="12" t="str">
        <f t="shared" ca="1" si="9"/>
        <v>✔</v>
      </c>
      <c r="AC49" s="12" t="str">
        <f t="shared" ca="1" si="9"/>
        <v xml:space="preserve"> L</v>
      </c>
      <c r="AD49" s="12" t="str">
        <f t="shared" ca="1" si="9"/>
        <v>❌</v>
      </c>
      <c r="AE49" s="12" t="str">
        <f t="shared" ca="1" si="9"/>
        <v xml:space="preserve"> L</v>
      </c>
      <c r="AF49" s="12" t="str">
        <f t="shared" ca="1" si="9"/>
        <v xml:space="preserve"> L</v>
      </c>
      <c r="AG49" s="12" t="str">
        <f t="shared" ca="1" si="9"/>
        <v>❌</v>
      </c>
      <c r="AH49" s="9">
        <f t="shared" ca="1" si="2"/>
        <v>8</v>
      </c>
      <c r="AI49" s="9">
        <f t="shared" ca="1" si="3"/>
        <v>12</v>
      </c>
      <c r="AJ49" s="9">
        <f t="shared" ca="1" si="4"/>
        <v>11</v>
      </c>
    </row>
    <row r="50" spans="1:36">
      <c r="A50" s="9" t="s">
        <v>207</v>
      </c>
      <c r="B50" s="9" t="str">
        <f>VLOOKUP(A50, Master_Roster!A$2:B$102, 2, FALSE)</f>
        <v>Wyatt Hall</v>
      </c>
      <c r="C50" s="12" t="str">
        <f t="shared" ca="1" si="1"/>
        <v>❌</v>
      </c>
      <c r="D50" s="12" t="str">
        <f t="shared" ca="1" si="9"/>
        <v>❌</v>
      </c>
      <c r="E50" s="12" t="str">
        <f t="shared" ca="1" si="9"/>
        <v>✔</v>
      </c>
      <c r="F50" s="12" t="str">
        <f t="shared" ca="1" si="9"/>
        <v>❌</v>
      </c>
      <c r="G50" s="12" t="str">
        <f t="shared" ca="1" si="9"/>
        <v>❌</v>
      </c>
      <c r="H50" s="12" t="str">
        <f t="shared" ca="1" si="9"/>
        <v xml:space="preserve"> L</v>
      </c>
      <c r="I50" s="12" t="str">
        <f t="shared" ca="1" si="9"/>
        <v>❌</v>
      </c>
      <c r="J50" s="12" t="str">
        <f t="shared" ca="1" si="9"/>
        <v>❌</v>
      </c>
      <c r="K50" s="12" t="str">
        <f t="shared" ca="1" si="9"/>
        <v xml:space="preserve"> L</v>
      </c>
      <c r="L50" s="12" t="str">
        <f t="shared" ca="1" si="9"/>
        <v>❌</v>
      </c>
      <c r="M50" s="12" t="str">
        <f t="shared" ca="1" si="9"/>
        <v>✔</v>
      </c>
      <c r="N50" s="12" t="str">
        <f t="shared" ca="1" si="9"/>
        <v xml:space="preserve"> L</v>
      </c>
      <c r="O50" s="12" t="str">
        <f t="shared" ca="1" si="9"/>
        <v>❌</v>
      </c>
      <c r="P50" s="12" t="str">
        <f t="shared" ca="1" si="9"/>
        <v>❌</v>
      </c>
      <c r="Q50" s="12" t="str">
        <f t="shared" ca="1" si="9"/>
        <v>✔</v>
      </c>
      <c r="R50" s="12" t="str">
        <f t="shared" ca="1" si="9"/>
        <v>❌</v>
      </c>
      <c r="S50" s="12" t="str">
        <f t="shared" ca="1" si="9"/>
        <v xml:space="preserve"> L</v>
      </c>
      <c r="T50" s="12" t="str">
        <f t="shared" ca="1" si="9"/>
        <v xml:space="preserve"> L</v>
      </c>
      <c r="U50" s="12" t="str">
        <f t="shared" ca="1" si="9"/>
        <v xml:space="preserve"> L</v>
      </c>
      <c r="V50" s="12" t="str">
        <f t="shared" ca="1" si="9"/>
        <v>✔</v>
      </c>
      <c r="W50" s="12" t="str">
        <f t="shared" ca="1" si="9"/>
        <v xml:space="preserve"> L</v>
      </c>
      <c r="X50" s="12" t="str">
        <f t="shared" ca="1" si="9"/>
        <v>✔</v>
      </c>
      <c r="Y50" s="12" t="str">
        <f t="shared" ca="1" si="9"/>
        <v>❌</v>
      </c>
      <c r="Z50" s="12" t="str">
        <f t="shared" ca="1" si="9"/>
        <v xml:space="preserve"> L</v>
      </c>
      <c r="AA50" s="12" t="str">
        <f t="shared" ca="1" si="9"/>
        <v xml:space="preserve"> L</v>
      </c>
      <c r="AB50" s="12" t="str">
        <f t="shared" ca="1" si="9"/>
        <v>✔</v>
      </c>
      <c r="AC50" s="12" t="str">
        <f t="shared" ca="1" si="9"/>
        <v>✔</v>
      </c>
      <c r="AD50" s="12" t="str">
        <f t="shared" ca="1" si="9"/>
        <v>❌</v>
      </c>
      <c r="AE50" s="12" t="str">
        <f t="shared" ca="1" si="9"/>
        <v xml:space="preserve"> L</v>
      </c>
      <c r="AF50" s="12" t="str">
        <f t="shared" ca="1" si="9"/>
        <v xml:space="preserve"> L</v>
      </c>
      <c r="AG50" s="12" t="str">
        <f t="shared" ca="1" si="9"/>
        <v>✔</v>
      </c>
      <c r="AH50" s="9">
        <f t="shared" ca="1" si="2"/>
        <v>8</v>
      </c>
      <c r="AI50" s="9">
        <f t="shared" ca="1" si="3"/>
        <v>12</v>
      </c>
      <c r="AJ50" s="9">
        <f t="shared" ca="1" si="4"/>
        <v>11</v>
      </c>
    </row>
    <row r="51" spans="1:36">
      <c r="A51" s="9" t="s">
        <v>211</v>
      </c>
      <c r="B51" s="9" t="str">
        <f>VLOOKUP(A51, Master_Roster!A$2:B$102, 2, FALSE)</f>
        <v>Addison Rivera</v>
      </c>
      <c r="C51" s="12" t="str">
        <f t="shared" ca="1" si="1"/>
        <v>✔</v>
      </c>
      <c r="D51" s="12" t="str">
        <f t="shared" ca="1" si="9"/>
        <v xml:space="preserve"> L</v>
      </c>
      <c r="E51" s="12" t="str">
        <f t="shared" ca="1" si="9"/>
        <v>✔</v>
      </c>
      <c r="F51" s="12" t="str">
        <f t="shared" ca="1" si="9"/>
        <v>❌</v>
      </c>
      <c r="G51" s="12" t="str">
        <f t="shared" ca="1" si="9"/>
        <v>✔</v>
      </c>
      <c r="H51" s="12" t="str">
        <f t="shared" ca="1" si="9"/>
        <v xml:space="preserve"> L</v>
      </c>
      <c r="I51" s="12" t="str">
        <f t="shared" ca="1" si="9"/>
        <v>❌</v>
      </c>
      <c r="J51" s="12" t="str">
        <f t="shared" ca="1" si="9"/>
        <v xml:space="preserve"> L</v>
      </c>
      <c r="K51" s="12" t="str">
        <f t="shared" ca="1" si="9"/>
        <v xml:space="preserve"> L</v>
      </c>
      <c r="L51" s="12" t="str">
        <f t="shared" ca="1" si="9"/>
        <v>✔</v>
      </c>
      <c r="M51" s="12" t="str">
        <f t="shared" ca="1" si="9"/>
        <v>✔</v>
      </c>
      <c r="N51" s="12" t="str">
        <f t="shared" ca="1" si="9"/>
        <v>✔</v>
      </c>
      <c r="O51" s="12" t="str">
        <f t="shared" ca="1" si="9"/>
        <v>❌</v>
      </c>
      <c r="P51" s="12" t="str">
        <f t="shared" ca="1" si="9"/>
        <v>✔</v>
      </c>
      <c r="Q51" s="12" t="str">
        <f t="shared" ca="1" si="9"/>
        <v>❌</v>
      </c>
      <c r="R51" s="12" t="str">
        <f t="shared" ca="1" si="9"/>
        <v xml:space="preserve"> L</v>
      </c>
      <c r="S51" s="12" t="str">
        <f t="shared" ca="1" si="9"/>
        <v xml:space="preserve"> L</v>
      </c>
      <c r="T51" s="12" t="str">
        <f t="shared" ca="1" si="9"/>
        <v xml:space="preserve"> L</v>
      </c>
      <c r="U51" s="12" t="str">
        <f t="shared" ca="1" si="9"/>
        <v>✔</v>
      </c>
      <c r="V51" s="12" t="str">
        <f t="shared" ca="1" si="9"/>
        <v xml:space="preserve"> L</v>
      </c>
      <c r="W51" s="12" t="str">
        <f t="shared" ca="1" si="9"/>
        <v>❌</v>
      </c>
      <c r="X51" s="12" t="str">
        <f t="shared" ca="1" si="9"/>
        <v>✔</v>
      </c>
      <c r="Y51" s="12" t="str">
        <f t="shared" ca="1" si="9"/>
        <v xml:space="preserve"> L</v>
      </c>
      <c r="Z51" s="12" t="str">
        <f t="shared" ca="1" si="9"/>
        <v>❌</v>
      </c>
      <c r="AA51" s="12" t="str">
        <f t="shared" ca="1" si="9"/>
        <v xml:space="preserve"> L</v>
      </c>
      <c r="AB51" s="12" t="str">
        <f t="shared" ca="1" si="9"/>
        <v>✔</v>
      </c>
      <c r="AC51" s="12" t="str">
        <f t="shared" ca="1" si="9"/>
        <v>✔</v>
      </c>
      <c r="AD51" s="12" t="str">
        <f t="shared" ca="1" si="9"/>
        <v xml:space="preserve"> L</v>
      </c>
      <c r="AE51" s="12" t="str">
        <f t="shared" ca="1" si="9"/>
        <v xml:space="preserve"> L</v>
      </c>
      <c r="AF51" s="12" t="str">
        <f t="shared" ca="1" si="9"/>
        <v xml:space="preserve"> L</v>
      </c>
      <c r="AG51" s="12" t="str">
        <f t="shared" ca="1" si="9"/>
        <v>❌</v>
      </c>
      <c r="AH51" s="9">
        <f t="shared" ca="1" si="2"/>
        <v>11</v>
      </c>
      <c r="AI51" s="9">
        <f t="shared" ca="1" si="3"/>
        <v>7</v>
      </c>
      <c r="AJ51" s="9">
        <f t="shared" ca="1" si="4"/>
        <v>13</v>
      </c>
    </row>
    <row r="52" spans="1:36">
      <c r="A52" s="9" t="s">
        <v>215</v>
      </c>
      <c r="B52" s="9" t="str">
        <f>VLOOKUP(A52, Master_Roster!A$2:B$102, 2, FALSE)</f>
        <v>Jayden Campbell</v>
      </c>
      <c r="C52" s="12" t="str">
        <f t="shared" ca="1" si="1"/>
        <v xml:space="preserve"> L</v>
      </c>
      <c r="D52" s="12" t="str">
        <f t="shared" ca="1" si="9"/>
        <v>❌</v>
      </c>
      <c r="E52" s="12" t="str">
        <f t="shared" ca="1" si="9"/>
        <v>❌</v>
      </c>
      <c r="F52" s="12" t="str">
        <f t="shared" ca="1" si="9"/>
        <v>❌</v>
      </c>
      <c r="G52" s="12" t="str">
        <f t="shared" ca="1" si="9"/>
        <v>✔</v>
      </c>
      <c r="H52" s="12" t="str">
        <f t="shared" ca="1" si="9"/>
        <v>✔</v>
      </c>
      <c r="I52" s="12" t="str">
        <f t="shared" ca="1" si="9"/>
        <v>✔</v>
      </c>
      <c r="J52" s="12" t="str">
        <f t="shared" ca="1" si="9"/>
        <v>❌</v>
      </c>
      <c r="K52" s="12" t="str">
        <f t="shared" ca="1" si="9"/>
        <v>❌</v>
      </c>
      <c r="L52" s="12" t="str">
        <f t="shared" ca="1" si="9"/>
        <v xml:space="preserve"> L</v>
      </c>
      <c r="M52" s="12" t="str">
        <f t="shared" ca="1" si="9"/>
        <v>✔</v>
      </c>
      <c r="N52" s="12" t="str">
        <f t="shared" ca="1" si="9"/>
        <v xml:space="preserve"> L</v>
      </c>
      <c r="O52" s="12" t="str">
        <f t="shared" ca="1" si="9"/>
        <v>❌</v>
      </c>
      <c r="P52" s="12" t="str">
        <f t="shared" ca="1" si="9"/>
        <v>✔</v>
      </c>
      <c r="Q52" s="12" t="str">
        <f t="shared" ca="1" si="9"/>
        <v>✔</v>
      </c>
      <c r="R52" s="12" t="str">
        <f t="shared" ca="1" si="9"/>
        <v>❌</v>
      </c>
      <c r="S52" s="12" t="str">
        <f t="shared" ca="1" si="9"/>
        <v xml:space="preserve"> L</v>
      </c>
      <c r="T52" s="12" t="str">
        <f t="shared" ca="1" si="9"/>
        <v>✔</v>
      </c>
      <c r="U52" s="12" t="str">
        <f t="shared" ca="1" si="9"/>
        <v>✔</v>
      </c>
      <c r="V52" s="12" t="str">
        <f t="shared" ca="1" si="9"/>
        <v>❌</v>
      </c>
      <c r="W52" s="12" t="str">
        <f t="shared" ca="1" si="9"/>
        <v xml:space="preserve"> L</v>
      </c>
      <c r="X52" s="12" t="str">
        <f t="shared" ca="1" si="9"/>
        <v xml:space="preserve"> L</v>
      </c>
      <c r="Y52" s="12" t="str">
        <f t="shared" ca="1" si="9"/>
        <v>✔</v>
      </c>
      <c r="Z52" s="12" t="str">
        <f t="shared" ca="1" si="9"/>
        <v>❌</v>
      </c>
      <c r="AA52" s="12" t="str">
        <f t="shared" ca="1" si="9"/>
        <v xml:space="preserve"> L</v>
      </c>
      <c r="AB52" s="12" t="str">
        <f t="shared" ca="1" si="9"/>
        <v xml:space="preserve"> L</v>
      </c>
      <c r="AC52" s="12" t="str">
        <f t="shared" ca="1" si="9"/>
        <v>❌</v>
      </c>
      <c r="AD52" s="12" t="str">
        <f t="shared" ca="1" si="9"/>
        <v>✔</v>
      </c>
      <c r="AE52" s="12" t="str">
        <f t="shared" ca="1" si="9"/>
        <v xml:space="preserve"> L</v>
      </c>
      <c r="AF52" s="12" t="str">
        <f t="shared" ca="1" si="9"/>
        <v>❌</v>
      </c>
      <c r="AG52" s="12" t="str">
        <f t="shared" ca="1" si="9"/>
        <v>✔</v>
      </c>
      <c r="AH52" s="9">
        <f t="shared" ca="1" si="2"/>
        <v>11</v>
      </c>
      <c r="AI52" s="9">
        <f t="shared" ca="1" si="3"/>
        <v>11</v>
      </c>
      <c r="AJ52" s="9">
        <f t="shared" ca="1" si="4"/>
        <v>9</v>
      </c>
    </row>
    <row r="53" spans="1:36">
      <c r="A53" s="9" t="s">
        <v>219</v>
      </c>
      <c r="B53" s="9" t="str">
        <f>VLOOKUP(A53, Master_Roster!A$2:B$102, 2, FALSE)</f>
        <v>Aubrey Mitchell</v>
      </c>
      <c r="C53" s="12" t="str">
        <f t="shared" ca="1" si="1"/>
        <v>❌</v>
      </c>
      <c r="D53" s="12" t="str">
        <f t="shared" ca="1" si="9"/>
        <v>❌</v>
      </c>
      <c r="E53" s="12" t="str">
        <f t="shared" ca="1" si="9"/>
        <v>❌</v>
      </c>
      <c r="F53" s="12" t="str">
        <f t="shared" ca="1" si="9"/>
        <v xml:space="preserve"> L</v>
      </c>
      <c r="G53" s="12" t="str">
        <f t="shared" ca="1" si="9"/>
        <v xml:space="preserve"> L</v>
      </c>
      <c r="H53" s="12" t="str">
        <f t="shared" ca="1" si="9"/>
        <v>✔</v>
      </c>
      <c r="I53" s="12" t="str">
        <f t="shared" ca="1" si="9"/>
        <v xml:space="preserve"> L</v>
      </c>
      <c r="J53" s="12" t="str">
        <f t="shared" ca="1" si="9"/>
        <v xml:space="preserve"> L</v>
      </c>
      <c r="K53" s="12" t="str">
        <f t="shared" ca="1" si="9"/>
        <v xml:space="preserve"> L</v>
      </c>
      <c r="L53" s="12" t="str">
        <f t="shared" ca="1" si="9"/>
        <v>✔</v>
      </c>
      <c r="M53" s="12" t="str">
        <f t="shared" ca="1" si="9"/>
        <v>✔</v>
      </c>
      <c r="N53" s="12" t="str">
        <f t="shared" ca="1" si="9"/>
        <v xml:space="preserve"> L</v>
      </c>
      <c r="O53" s="12" t="str">
        <f t="shared" ca="1" si="9"/>
        <v xml:space="preserve"> L</v>
      </c>
      <c r="P53" s="12" t="str">
        <f t="shared" ca="1" si="9"/>
        <v xml:space="preserve"> L</v>
      </c>
      <c r="Q53" s="12" t="str">
        <f t="shared" ca="1" si="9"/>
        <v>✔</v>
      </c>
      <c r="R53" s="12" t="str">
        <f t="shared" ca="1" si="9"/>
        <v>❌</v>
      </c>
      <c r="S53" s="12" t="str">
        <f t="shared" ca="1" si="9"/>
        <v>❌</v>
      </c>
      <c r="T53" s="12" t="str">
        <f t="shared" ca="1" si="9"/>
        <v>❌</v>
      </c>
      <c r="U53" s="12" t="str">
        <f t="shared" ca="1" si="9"/>
        <v>❌</v>
      </c>
      <c r="V53" s="12" t="str">
        <f t="shared" ca="1" si="9"/>
        <v>✔</v>
      </c>
      <c r="W53" s="12" t="str">
        <f t="shared" ca="1" si="9"/>
        <v>✔</v>
      </c>
      <c r="X53" s="12" t="str">
        <f t="shared" ca="1" si="9"/>
        <v>❌</v>
      </c>
      <c r="Y53" s="12" t="str">
        <f t="shared" ca="1" si="9"/>
        <v>❌</v>
      </c>
      <c r="Z53" s="12" t="str">
        <f t="shared" ca="1" si="9"/>
        <v>❌</v>
      </c>
      <c r="AA53" s="12" t="str">
        <f t="shared" ca="1" si="9"/>
        <v xml:space="preserve"> L</v>
      </c>
      <c r="AB53" s="12" t="str">
        <f t="shared" ca="1" si="9"/>
        <v>❌</v>
      </c>
      <c r="AC53" s="12" t="str">
        <f t="shared" ca="1" si="9"/>
        <v xml:space="preserve"> L</v>
      </c>
      <c r="AD53" s="12" t="str">
        <f t="shared" ca="1" si="9"/>
        <v xml:space="preserve"> L</v>
      </c>
      <c r="AE53" s="12" t="str">
        <f t="shared" ca="1" si="9"/>
        <v xml:space="preserve"> L</v>
      </c>
      <c r="AF53" s="12" t="str">
        <f t="shared" ca="1" si="9"/>
        <v>❌</v>
      </c>
      <c r="AG53" s="12" t="str">
        <f t="shared" ca="1" si="9"/>
        <v>✔</v>
      </c>
      <c r="AH53" s="9">
        <f t="shared" ca="1" si="2"/>
        <v>7</v>
      </c>
      <c r="AI53" s="9">
        <f t="shared" ca="1" si="3"/>
        <v>12</v>
      </c>
      <c r="AJ53" s="9">
        <f t="shared" ca="1" si="4"/>
        <v>12</v>
      </c>
    </row>
    <row r="54" spans="1:36">
      <c r="A54" s="9" t="s">
        <v>223</v>
      </c>
      <c r="B54" s="9" t="str">
        <f>VLOOKUP(A54, Master_Roster!A$2:B$102, 2, FALSE)</f>
        <v>John Carter</v>
      </c>
      <c r="C54" s="12" t="str">
        <f t="shared" ca="1" si="1"/>
        <v>❌</v>
      </c>
      <c r="D54" s="12" t="str">
        <f t="shared" ca="1" si="9"/>
        <v>✔</v>
      </c>
      <c r="E54" s="12" t="str">
        <f t="shared" ca="1" si="9"/>
        <v>✔</v>
      </c>
      <c r="F54" s="12" t="str">
        <f t="shared" ca="1" si="9"/>
        <v>✔</v>
      </c>
      <c r="G54" s="12" t="str">
        <f t="shared" ca="1" si="9"/>
        <v>❌</v>
      </c>
      <c r="H54" s="12" t="str">
        <f t="shared" ca="1" si="9"/>
        <v>❌</v>
      </c>
      <c r="I54" s="12" t="str">
        <f t="shared" ca="1" si="9"/>
        <v xml:space="preserve"> L</v>
      </c>
      <c r="J54" s="12" t="str">
        <f t="shared" ca="1" si="9"/>
        <v xml:space="preserve"> L</v>
      </c>
      <c r="K54" s="12" t="str">
        <f t="shared" ca="1" si="9"/>
        <v>❌</v>
      </c>
      <c r="L54" s="12" t="str">
        <f t="shared" ca="1" si="9"/>
        <v>❌</v>
      </c>
      <c r="M54" s="12" t="str">
        <f t="shared" ca="1" si="9"/>
        <v>❌</v>
      </c>
      <c r="N54" s="12" t="str">
        <f t="shared" ca="1" si="9"/>
        <v>❌</v>
      </c>
      <c r="O54" s="12" t="str">
        <f t="shared" ca="1" si="9"/>
        <v>✔</v>
      </c>
      <c r="P54" s="12" t="str">
        <f t="shared" ca="1" si="9"/>
        <v>✔</v>
      </c>
      <c r="Q54" s="12" t="str">
        <f t="shared" ca="1" si="9"/>
        <v>✔</v>
      </c>
      <c r="R54" s="12" t="str">
        <f t="shared" ca="1" si="9"/>
        <v xml:space="preserve"> L</v>
      </c>
      <c r="S54" s="12" t="str">
        <f t="shared" ca="1" si="9"/>
        <v>❌</v>
      </c>
      <c r="T54" s="12" t="str">
        <f t="shared" ca="1" si="9"/>
        <v>❌</v>
      </c>
      <c r="U54" s="12" t="str">
        <f t="shared" ca="1" si="9"/>
        <v>✔</v>
      </c>
      <c r="V54" s="12" t="str">
        <f t="shared" ca="1" si="9"/>
        <v xml:space="preserve"> L</v>
      </c>
      <c r="W54" s="12" t="str">
        <f t="shared" ca="1" si="9"/>
        <v>❌</v>
      </c>
      <c r="X54" s="12" t="str">
        <f t="shared" ca="1" si="9"/>
        <v xml:space="preserve"> L</v>
      </c>
      <c r="Y54" s="12" t="str">
        <f t="shared" ca="1" si="9"/>
        <v xml:space="preserve"> L</v>
      </c>
      <c r="Z54" s="12" t="str">
        <f t="shared" ca="1" si="9"/>
        <v xml:space="preserve"> L</v>
      </c>
      <c r="AA54" s="12" t="str">
        <f t="shared" ca="1" si="9"/>
        <v>❌</v>
      </c>
      <c r="AB54" s="12" t="str">
        <f t="shared" ca="1" si="9"/>
        <v xml:space="preserve"> L</v>
      </c>
      <c r="AC54" s="12" t="str">
        <f t="shared" ca="1" si="9"/>
        <v>❌</v>
      </c>
      <c r="AD54" s="12" t="str">
        <f t="shared" ca="1" si="9"/>
        <v xml:space="preserve"> L</v>
      </c>
      <c r="AE54" s="12" t="str">
        <f t="shared" ca="1" si="9"/>
        <v>❌</v>
      </c>
      <c r="AF54" s="12" t="str">
        <f t="shared" ca="1" si="9"/>
        <v xml:space="preserve"> L</v>
      </c>
      <c r="AG54" s="12" t="str">
        <f t="shared" ca="1" si="9"/>
        <v>✔</v>
      </c>
      <c r="AH54" s="9">
        <f t="shared" ca="1" si="2"/>
        <v>8</v>
      </c>
      <c r="AI54" s="9">
        <f t="shared" ca="1" si="3"/>
        <v>13</v>
      </c>
      <c r="AJ54" s="9">
        <f t="shared" ca="1" si="4"/>
        <v>10</v>
      </c>
    </row>
    <row r="55" spans="1:36">
      <c r="A55" s="9" t="s">
        <v>227</v>
      </c>
      <c r="B55" s="9" t="str">
        <f>VLOOKUP(A55, Master_Roster!A$2:B$102, 2, FALSE)</f>
        <v>Stella Roberts</v>
      </c>
      <c r="C55" s="12" t="str">
        <f t="shared" ca="1" si="1"/>
        <v>✔</v>
      </c>
      <c r="D55" s="12" t="str">
        <f t="shared" ca="1" si="9"/>
        <v>❌</v>
      </c>
      <c r="E55" s="12" t="str">
        <f t="shared" ca="1" si="9"/>
        <v xml:space="preserve"> L</v>
      </c>
      <c r="F55" s="12" t="str">
        <f t="shared" ca="1" si="9"/>
        <v xml:space="preserve"> L</v>
      </c>
      <c r="G55" s="12" t="str">
        <f t="shared" ca="1" si="9"/>
        <v>❌</v>
      </c>
      <c r="H55" s="12" t="str">
        <f t="shared" ca="1" si="9"/>
        <v>✔</v>
      </c>
      <c r="I55" s="12" t="str">
        <f t="shared" ca="1" si="9"/>
        <v xml:space="preserve"> L</v>
      </c>
      <c r="J55" s="12" t="str">
        <f t="shared" ca="1" si="9"/>
        <v>❌</v>
      </c>
      <c r="K55" s="12" t="str">
        <f t="shared" ca="1" si="9"/>
        <v>✔</v>
      </c>
      <c r="L55" s="12" t="str">
        <f t="shared" ca="1" si="9"/>
        <v>✔</v>
      </c>
      <c r="M55" s="12" t="str">
        <f t="shared" ca="1" si="9"/>
        <v>❌</v>
      </c>
      <c r="N55" s="12" t="str">
        <f t="shared" ca="1" si="9"/>
        <v xml:space="preserve"> L</v>
      </c>
      <c r="O55" s="12" t="str">
        <f t="shared" ca="1" si="9"/>
        <v xml:space="preserve"> L</v>
      </c>
      <c r="P55" s="12" t="str">
        <f t="shared" ca="1" si="9"/>
        <v>✔</v>
      </c>
      <c r="Q55" s="12" t="str">
        <f t="shared" ca="1" si="9"/>
        <v>❌</v>
      </c>
      <c r="R55" s="12" t="str">
        <f t="shared" ca="1" si="9"/>
        <v xml:space="preserve"> L</v>
      </c>
      <c r="S55" s="12" t="str">
        <f t="shared" ref="D55:AG63" ca="1" si="10">CHOOSE(RANDBETWEEN(1, 3), "✔", " L", "❌")</f>
        <v>❌</v>
      </c>
      <c r="T55" s="12" t="str">
        <f t="shared" ca="1" si="10"/>
        <v>❌</v>
      </c>
      <c r="U55" s="12" t="str">
        <f t="shared" ca="1" si="10"/>
        <v>✔</v>
      </c>
      <c r="V55" s="12" t="str">
        <f t="shared" ca="1" si="10"/>
        <v>❌</v>
      </c>
      <c r="W55" s="12" t="str">
        <f t="shared" ca="1" si="10"/>
        <v>❌</v>
      </c>
      <c r="X55" s="12" t="str">
        <f t="shared" ca="1" si="10"/>
        <v>❌</v>
      </c>
      <c r="Y55" s="12" t="str">
        <f t="shared" ca="1" si="10"/>
        <v xml:space="preserve"> L</v>
      </c>
      <c r="Z55" s="12" t="str">
        <f t="shared" ca="1" si="10"/>
        <v xml:space="preserve"> L</v>
      </c>
      <c r="AA55" s="12" t="str">
        <f t="shared" ca="1" si="10"/>
        <v>✔</v>
      </c>
      <c r="AB55" s="12" t="str">
        <f t="shared" ca="1" si="10"/>
        <v xml:space="preserve"> L</v>
      </c>
      <c r="AC55" s="12" t="str">
        <f t="shared" ca="1" si="10"/>
        <v>❌</v>
      </c>
      <c r="AD55" s="12" t="str">
        <f t="shared" ca="1" si="10"/>
        <v>❌</v>
      </c>
      <c r="AE55" s="12" t="str">
        <f t="shared" ca="1" si="10"/>
        <v>✔</v>
      </c>
      <c r="AF55" s="12" t="str">
        <f t="shared" ca="1" si="10"/>
        <v xml:space="preserve"> L</v>
      </c>
      <c r="AG55" s="12" t="str">
        <f t="shared" ca="1" si="10"/>
        <v>❌</v>
      </c>
      <c r="AH55" s="9">
        <f t="shared" ca="1" si="2"/>
        <v>8</v>
      </c>
      <c r="AI55" s="9">
        <f t="shared" ca="1" si="3"/>
        <v>13</v>
      </c>
      <c r="AJ55" s="9">
        <f t="shared" ca="1" si="4"/>
        <v>10</v>
      </c>
    </row>
    <row r="56" spans="1:36">
      <c r="A56" s="9" t="s">
        <v>231</v>
      </c>
      <c r="B56" s="9" t="str">
        <f>VLOOKUP(A56, Master_Roster!A$2:B$102, 2, FALSE)</f>
        <v>Luke Gomez</v>
      </c>
      <c r="C56" s="12" t="str">
        <f t="shared" ca="1" si="1"/>
        <v>❌</v>
      </c>
      <c r="D56" s="12" t="str">
        <f t="shared" ca="1" si="10"/>
        <v>✔</v>
      </c>
      <c r="E56" s="12" t="str">
        <f t="shared" ca="1" si="10"/>
        <v>✔</v>
      </c>
      <c r="F56" s="12" t="str">
        <f t="shared" ca="1" si="10"/>
        <v xml:space="preserve"> L</v>
      </c>
      <c r="G56" s="12" t="str">
        <f t="shared" ca="1" si="10"/>
        <v>❌</v>
      </c>
      <c r="H56" s="12" t="str">
        <f t="shared" ca="1" si="10"/>
        <v xml:space="preserve"> L</v>
      </c>
      <c r="I56" s="12" t="str">
        <f t="shared" ca="1" si="10"/>
        <v>❌</v>
      </c>
      <c r="J56" s="12" t="str">
        <f t="shared" ca="1" si="10"/>
        <v>❌</v>
      </c>
      <c r="K56" s="12" t="str">
        <f t="shared" ca="1" si="10"/>
        <v>❌</v>
      </c>
      <c r="L56" s="12" t="str">
        <f t="shared" ca="1" si="10"/>
        <v>✔</v>
      </c>
      <c r="M56" s="12" t="str">
        <f t="shared" ca="1" si="10"/>
        <v xml:space="preserve"> L</v>
      </c>
      <c r="N56" s="12" t="str">
        <f t="shared" ca="1" si="10"/>
        <v>❌</v>
      </c>
      <c r="O56" s="12" t="str">
        <f t="shared" ca="1" si="10"/>
        <v>✔</v>
      </c>
      <c r="P56" s="12" t="str">
        <f t="shared" ca="1" si="10"/>
        <v>❌</v>
      </c>
      <c r="Q56" s="12" t="str">
        <f t="shared" ca="1" si="10"/>
        <v>❌</v>
      </c>
      <c r="R56" s="12" t="str">
        <f t="shared" ca="1" si="10"/>
        <v>❌</v>
      </c>
      <c r="S56" s="12" t="str">
        <f t="shared" ca="1" si="10"/>
        <v>❌</v>
      </c>
      <c r="T56" s="12" t="str">
        <f t="shared" ca="1" si="10"/>
        <v xml:space="preserve"> L</v>
      </c>
      <c r="U56" s="12" t="str">
        <f t="shared" ca="1" si="10"/>
        <v>❌</v>
      </c>
      <c r="V56" s="12" t="str">
        <f t="shared" ca="1" si="10"/>
        <v>❌</v>
      </c>
      <c r="W56" s="12" t="str">
        <f t="shared" ca="1" si="10"/>
        <v>✔</v>
      </c>
      <c r="X56" s="12" t="str">
        <f t="shared" ca="1" si="10"/>
        <v>❌</v>
      </c>
      <c r="Y56" s="12" t="str">
        <f t="shared" ca="1" si="10"/>
        <v>✔</v>
      </c>
      <c r="Z56" s="12" t="str">
        <f t="shared" ca="1" si="10"/>
        <v xml:space="preserve"> L</v>
      </c>
      <c r="AA56" s="12" t="str">
        <f t="shared" ca="1" si="10"/>
        <v>✔</v>
      </c>
      <c r="AB56" s="12" t="str">
        <f t="shared" ca="1" si="10"/>
        <v>❌</v>
      </c>
      <c r="AC56" s="12" t="str">
        <f t="shared" ca="1" si="10"/>
        <v>❌</v>
      </c>
      <c r="AD56" s="12" t="str">
        <f t="shared" ca="1" si="10"/>
        <v xml:space="preserve"> L</v>
      </c>
      <c r="AE56" s="12" t="str">
        <f t="shared" ca="1" si="10"/>
        <v xml:space="preserve"> L</v>
      </c>
      <c r="AF56" s="12" t="str">
        <f t="shared" ca="1" si="10"/>
        <v>✔</v>
      </c>
      <c r="AG56" s="12" t="str">
        <f t="shared" ca="1" si="10"/>
        <v xml:space="preserve"> L</v>
      </c>
      <c r="AH56" s="9">
        <f t="shared" ca="1" si="2"/>
        <v>8</v>
      </c>
      <c r="AI56" s="9">
        <f t="shared" ca="1" si="3"/>
        <v>15</v>
      </c>
      <c r="AJ56" s="9">
        <f t="shared" ca="1" si="4"/>
        <v>8</v>
      </c>
    </row>
    <row r="57" spans="1:36">
      <c r="A57" s="9" t="s">
        <v>235</v>
      </c>
      <c r="B57" s="9" t="str">
        <f>VLOOKUP(A57, Master_Roster!A$2:B$102, 2, FALSE)</f>
        <v>Natalie Phillips</v>
      </c>
      <c r="C57" s="12" t="str">
        <f t="shared" ca="1" si="1"/>
        <v>❌</v>
      </c>
      <c r="D57" s="12" t="str">
        <f t="shared" ca="1" si="10"/>
        <v>❌</v>
      </c>
      <c r="E57" s="12" t="str">
        <f t="shared" ca="1" si="10"/>
        <v>✔</v>
      </c>
      <c r="F57" s="12" t="str">
        <f t="shared" ca="1" si="10"/>
        <v>✔</v>
      </c>
      <c r="G57" s="12" t="str">
        <f t="shared" ca="1" si="10"/>
        <v>✔</v>
      </c>
      <c r="H57" s="12" t="str">
        <f t="shared" ca="1" si="10"/>
        <v>✔</v>
      </c>
      <c r="I57" s="12" t="str">
        <f t="shared" ca="1" si="10"/>
        <v>✔</v>
      </c>
      <c r="J57" s="12" t="str">
        <f t="shared" ca="1" si="10"/>
        <v>❌</v>
      </c>
      <c r="K57" s="12" t="str">
        <f t="shared" ca="1" si="10"/>
        <v>❌</v>
      </c>
      <c r="L57" s="12" t="str">
        <f t="shared" ca="1" si="10"/>
        <v>❌</v>
      </c>
      <c r="M57" s="12" t="str">
        <f t="shared" ca="1" si="10"/>
        <v>❌</v>
      </c>
      <c r="N57" s="12" t="str">
        <f t="shared" ca="1" si="10"/>
        <v>❌</v>
      </c>
      <c r="O57" s="12" t="str">
        <f t="shared" ca="1" si="10"/>
        <v xml:space="preserve"> L</v>
      </c>
      <c r="P57" s="12" t="str">
        <f t="shared" ca="1" si="10"/>
        <v>❌</v>
      </c>
      <c r="Q57" s="12" t="str">
        <f t="shared" ca="1" si="10"/>
        <v>✔</v>
      </c>
      <c r="R57" s="12" t="str">
        <f t="shared" ca="1" si="10"/>
        <v xml:space="preserve"> L</v>
      </c>
      <c r="S57" s="12" t="str">
        <f t="shared" ca="1" si="10"/>
        <v>❌</v>
      </c>
      <c r="T57" s="12" t="str">
        <f t="shared" ca="1" si="10"/>
        <v>✔</v>
      </c>
      <c r="U57" s="12" t="str">
        <f t="shared" ca="1" si="10"/>
        <v>❌</v>
      </c>
      <c r="V57" s="12" t="str">
        <f t="shared" ca="1" si="10"/>
        <v>❌</v>
      </c>
      <c r="W57" s="12" t="str">
        <f t="shared" ca="1" si="10"/>
        <v>✔</v>
      </c>
      <c r="X57" s="12" t="str">
        <f t="shared" ca="1" si="10"/>
        <v xml:space="preserve"> L</v>
      </c>
      <c r="Y57" s="12" t="str">
        <f t="shared" ca="1" si="10"/>
        <v>❌</v>
      </c>
      <c r="Z57" s="12" t="str">
        <f t="shared" ca="1" si="10"/>
        <v>✔</v>
      </c>
      <c r="AA57" s="12" t="str">
        <f t="shared" ca="1" si="10"/>
        <v>❌</v>
      </c>
      <c r="AB57" s="12" t="str">
        <f t="shared" ca="1" si="10"/>
        <v>✔</v>
      </c>
      <c r="AC57" s="12" t="str">
        <f t="shared" ca="1" si="10"/>
        <v>✔</v>
      </c>
      <c r="AD57" s="12" t="str">
        <f t="shared" ca="1" si="10"/>
        <v xml:space="preserve"> L</v>
      </c>
      <c r="AE57" s="12" t="str">
        <f t="shared" ca="1" si="10"/>
        <v xml:space="preserve"> L</v>
      </c>
      <c r="AF57" s="12" t="str">
        <f t="shared" ca="1" si="10"/>
        <v xml:space="preserve"> L</v>
      </c>
      <c r="AG57" s="12" t="str">
        <f t="shared" ca="1" si="10"/>
        <v>✔</v>
      </c>
      <c r="AH57" s="9">
        <f t="shared" ca="1" si="2"/>
        <v>12</v>
      </c>
      <c r="AI57" s="9">
        <f t="shared" ca="1" si="3"/>
        <v>13</v>
      </c>
      <c r="AJ57" s="9">
        <f t="shared" ca="1" si="4"/>
        <v>6</v>
      </c>
    </row>
    <row r="58" spans="1:36">
      <c r="A58" s="9" t="s">
        <v>239</v>
      </c>
      <c r="B58" s="9" t="str">
        <f>VLOOKUP(A58, Master_Roster!A$2:B$102, 2, FALSE)</f>
        <v>Grayson Evans</v>
      </c>
      <c r="C58" s="12" t="str">
        <f t="shared" ca="1" si="1"/>
        <v>✔</v>
      </c>
      <c r="D58" s="12" t="str">
        <f t="shared" ca="1" si="10"/>
        <v xml:space="preserve"> L</v>
      </c>
      <c r="E58" s="12" t="str">
        <f t="shared" ca="1" si="10"/>
        <v>✔</v>
      </c>
      <c r="F58" s="12" t="str">
        <f t="shared" ca="1" si="10"/>
        <v>✔</v>
      </c>
      <c r="G58" s="12" t="str">
        <f t="shared" ca="1" si="10"/>
        <v xml:space="preserve"> L</v>
      </c>
      <c r="H58" s="12" t="str">
        <f t="shared" ca="1" si="10"/>
        <v>✔</v>
      </c>
      <c r="I58" s="12" t="str">
        <f t="shared" ca="1" si="10"/>
        <v xml:space="preserve"> L</v>
      </c>
      <c r="J58" s="12" t="str">
        <f t="shared" ca="1" si="10"/>
        <v xml:space="preserve"> L</v>
      </c>
      <c r="K58" s="12" t="str">
        <f t="shared" ca="1" si="10"/>
        <v>❌</v>
      </c>
      <c r="L58" s="12" t="str">
        <f t="shared" ca="1" si="10"/>
        <v xml:space="preserve"> L</v>
      </c>
      <c r="M58" s="12" t="str">
        <f t="shared" ca="1" si="10"/>
        <v>❌</v>
      </c>
      <c r="N58" s="12" t="str">
        <f t="shared" ca="1" si="10"/>
        <v>✔</v>
      </c>
      <c r="O58" s="12" t="str">
        <f t="shared" ca="1" si="10"/>
        <v>❌</v>
      </c>
      <c r="P58" s="12" t="str">
        <f t="shared" ca="1" si="10"/>
        <v>✔</v>
      </c>
      <c r="Q58" s="12" t="str">
        <f t="shared" ca="1" si="10"/>
        <v>✔</v>
      </c>
      <c r="R58" s="12" t="str">
        <f t="shared" ca="1" si="10"/>
        <v>❌</v>
      </c>
      <c r="S58" s="12" t="str">
        <f t="shared" ca="1" si="10"/>
        <v>❌</v>
      </c>
      <c r="T58" s="12" t="str">
        <f t="shared" ca="1" si="10"/>
        <v>❌</v>
      </c>
      <c r="U58" s="12" t="str">
        <f t="shared" ca="1" si="10"/>
        <v>❌</v>
      </c>
      <c r="V58" s="12" t="str">
        <f t="shared" ca="1" si="10"/>
        <v xml:space="preserve"> L</v>
      </c>
      <c r="W58" s="12" t="str">
        <f t="shared" ca="1" si="10"/>
        <v xml:space="preserve"> L</v>
      </c>
      <c r="X58" s="12" t="str">
        <f t="shared" ca="1" si="10"/>
        <v>✔</v>
      </c>
      <c r="Y58" s="12" t="str">
        <f t="shared" ca="1" si="10"/>
        <v>✔</v>
      </c>
      <c r="Z58" s="12" t="str">
        <f t="shared" ca="1" si="10"/>
        <v xml:space="preserve"> L</v>
      </c>
      <c r="AA58" s="12" t="str">
        <f t="shared" ca="1" si="10"/>
        <v>✔</v>
      </c>
      <c r="AB58" s="12" t="str">
        <f t="shared" ca="1" si="10"/>
        <v xml:space="preserve"> L</v>
      </c>
      <c r="AC58" s="12" t="str">
        <f t="shared" ca="1" si="10"/>
        <v>❌</v>
      </c>
      <c r="AD58" s="12" t="str">
        <f t="shared" ca="1" si="10"/>
        <v xml:space="preserve"> L</v>
      </c>
      <c r="AE58" s="12" t="str">
        <f t="shared" ca="1" si="10"/>
        <v>✔</v>
      </c>
      <c r="AF58" s="12" t="str">
        <f t="shared" ca="1" si="10"/>
        <v xml:space="preserve"> L</v>
      </c>
      <c r="AG58" s="12" t="str">
        <f t="shared" ca="1" si="10"/>
        <v xml:space="preserve"> L</v>
      </c>
      <c r="AH58" s="9">
        <f t="shared" ca="1" si="2"/>
        <v>11</v>
      </c>
      <c r="AI58" s="9">
        <f t="shared" ca="1" si="3"/>
        <v>8</v>
      </c>
      <c r="AJ58" s="9">
        <f t="shared" ca="1" si="4"/>
        <v>12</v>
      </c>
    </row>
    <row r="59" spans="1:36">
      <c r="A59" s="9" t="s">
        <v>243</v>
      </c>
      <c r="B59" s="9" t="str">
        <f>VLOOKUP(A59, Master_Roster!A$2:B$102, 2, FALSE)</f>
        <v>Leah Turner</v>
      </c>
      <c r="C59" s="12" t="str">
        <f t="shared" ca="1" si="1"/>
        <v>❌</v>
      </c>
      <c r="D59" s="12" t="str">
        <f t="shared" ca="1" si="10"/>
        <v>✔</v>
      </c>
      <c r="E59" s="12" t="str">
        <f t="shared" ca="1" si="10"/>
        <v>✔</v>
      </c>
      <c r="F59" s="12" t="str">
        <f t="shared" ca="1" si="10"/>
        <v>✔</v>
      </c>
      <c r="G59" s="12" t="str">
        <f t="shared" ca="1" si="10"/>
        <v>❌</v>
      </c>
      <c r="H59" s="12" t="str">
        <f t="shared" ca="1" si="10"/>
        <v xml:space="preserve"> L</v>
      </c>
      <c r="I59" s="12" t="str">
        <f t="shared" ca="1" si="10"/>
        <v>✔</v>
      </c>
      <c r="J59" s="12" t="str">
        <f t="shared" ca="1" si="10"/>
        <v>✔</v>
      </c>
      <c r="K59" s="12" t="str">
        <f t="shared" ca="1" si="10"/>
        <v>✔</v>
      </c>
      <c r="L59" s="12" t="str">
        <f t="shared" ca="1" si="10"/>
        <v>✔</v>
      </c>
      <c r="M59" s="12" t="str">
        <f t="shared" ca="1" si="10"/>
        <v xml:space="preserve"> L</v>
      </c>
      <c r="N59" s="12" t="str">
        <f t="shared" ca="1" si="10"/>
        <v xml:space="preserve"> L</v>
      </c>
      <c r="O59" s="12" t="str">
        <f t="shared" ca="1" si="10"/>
        <v xml:space="preserve"> L</v>
      </c>
      <c r="P59" s="12" t="str">
        <f t="shared" ca="1" si="10"/>
        <v xml:space="preserve"> L</v>
      </c>
      <c r="Q59" s="12" t="str">
        <f t="shared" ca="1" si="10"/>
        <v xml:space="preserve"> L</v>
      </c>
      <c r="R59" s="12" t="str">
        <f t="shared" ca="1" si="10"/>
        <v xml:space="preserve"> L</v>
      </c>
      <c r="S59" s="12" t="str">
        <f t="shared" ca="1" si="10"/>
        <v>❌</v>
      </c>
      <c r="T59" s="12" t="str">
        <f t="shared" ca="1" si="10"/>
        <v>✔</v>
      </c>
      <c r="U59" s="12" t="str">
        <f t="shared" ca="1" si="10"/>
        <v>❌</v>
      </c>
      <c r="V59" s="12" t="str">
        <f t="shared" ca="1" si="10"/>
        <v xml:space="preserve"> L</v>
      </c>
      <c r="W59" s="12" t="str">
        <f t="shared" ca="1" si="10"/>
        <v xml:space="preserve"> L</v>
      </c>
      <c r="X59" s="12" t="str">
        <f t="shared" ca="1" si="10"/>
        <v xml:space="preserve"> L</v>
      </c>
      <c r="Y59" s="12" t="str">
        <f t="shared" ca="1" si="10"/>
        <v>❌</v>
      </c>
      <c r="Z59" s="12" t="str">
        <f t="shared" ca="1" si="10"/>
        <v>❌</v>
      </c>
      <c r="AA59" s="12" t="str">
        <f t="shared" ca="1" si="10"/>
        <v>❌</v>
      </c>
      <c r="AB59" s="12" t="str">
        <f t="shared" ca="1" si="10"/>
        <v xml:space="preserve"> L</v>
      </c>
      <c r="AC59" s="12" t="str">
        <f t="shared" ca="1" si="10"/>
        <v>❌</v>
      </c>
      <c r="AD59" s="12" t="str">
        <f t="shared" ca="1" si="10"/>
        <v>✔</v>
      </c>
      <c r="AE59" s="12" t="str">
        <f t="shared" ca="1" si="10"/>
        <v>✔</v>
      </c>
      <c r="AF59" s="12" t="str">
        <f t="shared" ca="1" si="10"/>
        <v>❌</v>
      </c>
      <c r="AG59" s="12" t="str">
        <f t="shared" ca="1" si="10"/>
        <v>✔</v>
      </c>
      <c r="AH59" s="9">
        <f t="shared" ca="1" si="2"/>
        <v>11</v>
      </c>
      <c r="AI59" s="9">
        <f t="shared" ca="1" si="3"/>
        <v>9</v>
      </c>
      <c r="AJ59" s="9">
        <f t="shared" ca="1" si="4"/>
        <v>11</v>
      </c>
    </row>
    <row r="60" spans="1:36">
      <c r="A60" s="9" t="s">
        <v>247</v>
      </c>
      <c r="B60" s="9" t="str">
        <f>VLOOKUP(A60, Master_Roster!A$2:B$102, 2, FALSE)</f>
        <v>Julian Perez</v>
      </c>
      <c r="C60" s="12" t="str">
        <f t="shared" ca="1" si="1"/>
        <v>❌</v>
      </c>
      <c r="D60" s="12" t="str">
        <f t="shared" ca="1" si="10"/>
        <v>✔</v>
      </c>
      <c r="E60" s="12" t="str">
        <f t="shared" ca="1" si="10"/>
        <v xml:space="preserve"> L</v>
      </c>
      <c r="F60" s="12" t="str">
        <f t="shared" ca="1" si="10"/>
        <v>❌</v>
      </c>
      <c r="G60" s="12" t="str">
        <f t="shared" ca="1" si="10"/>
        <v>❌</v>
      </c>
      <c r="H60" s="12" t="str">
        <f t="shared" ca="1" si="10"/>
        <v>✔</v>
      </c>
      <c r="I60" s="12" t="str">
        <f t="shared" ca="1" si="10"/>
        <v xml:space="preserve"> L</v>
      </c>
      <c r="J60" s="12" t="str">
        <f t="shared" ca="1" si="10"/>
        <v>❌</v>
      </c>
      <c r="K60" s="12" t="str">
        <f t="shared" ca="1" si="10"/>
        <v>❌</v>
      </c>
      <c r="L60" s="12" t="str">
        <f t="shared" ca="1" si="10"/>
        <v>✔</v>
      </c>
      <c r="M60" s="12" t="str">
        <f t="shared" ca="1" si="10"/>
        <v>✔</v>
      </c>
      <c r="N60" s="12" t="str">
        <f t="shared" ca="1" si="10"/>
        <v>✔</v>
      </c>
      <c r="O60" s="12" t="str">
        <f t="shared" ca="1" si="10"/>
        <v>❌</v>
      </c>
      <c r="P60" s="12" t="str">
        <f t="shared" ca="1" si="10"/>
        <v xml:space="preserve"> L</v>
      </c>
      <c r="Q60" s="12" t="str">
        <f t="shared" ca="1" si="10"/>
        <v xml:space="preserve"> L</v>
      </c>
      <c r="R60" s="12" t="str">
        <f t="shared" ca="1" si="10"/>
        <v>❌</v>
      </c>
      <c r="S60" s="12" t="str">
        <f t="shared" ca="1" si="10"/>
        <v>✔</v>
      </c>
      <c r="T60" s="12" t="str">
        <f t="shared" ca="1" si="10"/>
        <v>❌</v>
      </c>
      <c r="U60" s="12" t="str">
        <f t="shared" ca="1" si="10"/>
        <v>✔</v>
      </c>
      <c r="V60" s="12" t="str">
        <f t="shared" ca="1" si="10"/>
        <v>❌</v>
      </c>
      <c r="W60" s="12" t="str">
        <f t="shared" ca="1" si="10"/>
        <v xml:space="preserve"> L</v>
      </c>
      <c r="X60" s="12" t="str">
        <f t="shared" ca="1" si="10"/>
        <v>❌</v>
      </c>
      <c r="Y60" s="12" t="str">
        <f t="shared" ca="1" si="10"/>
        <v>❌</v>
      </c>
      <c r="Z60" s="12" t="str">
        <f t="shared" ca="1" si="10"/>
        <v>❌</v>
      </c>
      <c r="AA60" s="12" t="str">
        <f t="shared" ca="1" si="10"/>
        <v xml:space="preserve"> L</v>
      </c>
      <c r="AB60" s="12" t="str">
        <f t="shared" ca="1" si="10"/>
        <v>✔</v>
      </c>
      <c r="AC60" s="12" t="str">
        <f t="shared" ca="1" si="10"/>
        <v>❌</v>
      </c>
      <c r="AD60" s="12" t="str">
        <f t="shared" ca="1" si="10"/>
        <v>❌</v>
      </c>
      <c r="AE60" s="12" t="str">
        <f t="shared" ca="1" si="10"/>
        <v>✔</v>
      </c>
      <c r="AF60" s="12" t="str">
        <f t="shared" ca="1" si="10"/>
        <v>✔</v>
      </c>
      <c r="AG60" s="12" t="str">
        <f t="shared" ca="1" si="10"/>
        <v xml:space="preserve"> L</v>
      </c>
      <c r="AH60" s="9">
        <f t="shared" ca="1" si="2"/>
        <v>10</v>
      </c>
      <c r="AI60" s="9">
        <f t="shared" ca="1" si="3"/>
        <v>14</v>
      </c>
      <c r="AJ60" s="9">
        <f t="shared" ca="1" si="4"/>
        <v>7</v>
      </c>
    </row>
    <row r="61" spans="1:36">
      <c r="A61" s="9" t="s">
        <v>250</v>
      </c>
      <c r="B61" s="9" t="str">
        <f>VLOOKUP(A61, Master_Roster!A$2:B$102, 2, FALSE)</f>
        <v>Hazel Cooper</v>
      </c>
      <c r="C61" s="12" t="str">
        <f t="shared" ca="1" si="1"/>
        <v>❌</v>
      </c>
      <c r="D61" s="12" t="str">
        <f t="shared" ca="1" si="10"/>
        <v xml:space="preserve"> L</v>
      </c>
      <c r="E61" s="12" t="str">
        <f t="shared" ca="1" si="10"/>
        <v>❌</v>
      </c>
      <c r="F61" s="12" t="str">
        <f t="shared" ca="1" si="10"/>
        <v>✔</v>
      </c>
      <c r="G61" s="12" t="str">
        <f t="shared" ca="1" si="10"/>
        <v xml:space="preserve"> L</v>
      </c>
      <c r="H61" s="12" t="str">
        <f t="shared" ca="1" si="10"/>
        <v>✔</v>
      </c>
      <c r="I61" s="12" t="str">
        <f t="shared" ca="1" si="10"/>
        <v>❌</v>
      </c>
      <c r="J61" s="12" t="str">
        <f t="shared" ca="1" si="10"/>
        <v xml:space="preserve"> L</v>
      </c>
      <c r="K61" s="12" t="str">
        <f t="shared" ca="1" si="10"/>
        <v>❌</v>
      </c>
      <c r="L61" s="12" t="str">
        <f t="shared" ca="1" si="10"/>
        <v>✔</v>
      </c>
      <c r="M61" s="12" t="str">
        <f t="shared" ca="1" si="10"/>
        <v>✔</v>
      </c>
      <c r="N61" s="12" t="str">
        <f t="shared" ca="1" si="10"/>
        <v xml:space="preserve"> L</v>
      </c>
      <c r="O61" s="12" t="str">
        <f t="shared" ca="1" si="10"/>
        <v xml:space="preserve"> L</v>
      </c>
      <c r="P61" s="12" t="str">
        <f t="shared" ca="1" si="10"/>
        <v xml:space="preserve"> L</v>
      </c>
      <c r="Q61" s="12" t="str">
        <f t="shared" ca="1" si="10"/>
        <v>✔</v>
      </c>
      <c r="R61" s="12" t="str">
        <f t="shared" ca="1" si="10"/>
        <v xml:space="preserve"> L</v>
      </c>
      <c r="S61" s="12" t="str">
        <f t="shared" ca="1" si="10"/>
        <v>❌</v>
      </c>
      <c r="T61" s="12" t="str">
        <f t="shared" ca="1" si="10"/>
        <v>✔</v>
      </c>
      <c r="U61" s="12" t="str">
        <f t="shared" ca="1" si="10"/>
        <v xml:space="preserve"> L</v>
      </c>
      <c r="V61" s="12" t="str">
        <f t="shared" ca="1" si="10"/>
        <v xml:space="preserve"> L</v>
      </c>
      <c r="W61" s="12" t="str">
        <f t="shared" ca="1" si="10"/>
        <v>✔</v>
      </c>
      <c r="X61" s="12" t="str">
        <f t="shared" ca="1" si="10"/>
        <v xml:space="preserve"> L</v>
      </c>
      <c r="Y61" s="12" t="str">
        <f t="shared" ca="1" si="10"/>
        <v>✔</v>
      </c>
      <c r="Z61" s="12" t="str">
        <f t="shared" ca="1" si="10"/>
        <v>✔</v>
      </c>
      <c r="AA61" s="12" t="str">
        <f t="shared" ca="1" si="10"/>
        <v xml:space="preserve"> L</v>
      </c>
      <c r="AB61" s="12" t="str">
        <f t="shared" ca="1" si="10"/>
        <v xml:space="preserve"> L</v>
      </c>
      <c r="AC61" s="12" t="str">
        <f t="shared" ca="1" si="10"/>
        <v xml:space="preserve"> L</v>
      </c>
      <c r="AD61" s="12" t="str">
        <f t="shared" ca="1" si="10"/>
        <v>✔</v>
      </c>
      <c r="AE61" s="12" t="str">
        <f t="shared" ca="1" si="10"/>
        <v xml:space="preserve"> L</v>
      </c>
      <c r="AF61" s="12" t="str">
        <f t="shared" ca="1" si="10"/>
        <v xml:space="preserve"> L</v>
      </c>
      <c r="AG61" s="12" t="str">
        <f t="shared" ca="1" si="10"/>
        <v xml:space="preserve"> L</v>
      </c>
      <c r="AH61" s="9">
        <f t="shared" ca="1" si="2"/>
        <v>10</v>
      </c>
      <c r="AI61" s="9">
        <f t="shared" ca="1" si="3"/>
        <v>5</v>
      </c>
      <c r="AJ61" s="9">
        <f t="shared" ca="1" si="4"/>
        <v>16</v>
      </c>
    </row>
    <row r="62" spans="1:36">
      <c r="A62" s="9" t="s">
        <v>254</v>
      </c>
      <c r="B62" s="9" t="str">
        <f>VLOOKUP(A62, Master_Roster!A$2:B$102, 2, FALSE)</f>
        <v>Caleb Richardson</v>
      </c>
      <c r="C62" s="12" t="str">
        <f t="shared" ca="1" si="1"/>
        <v>❌</v>
      </c>
      <c r="D62" s="12" t="str">
        <f t="shared" ca="1" si="10"/>
        <v>❌</v>
      </c>
      <c r="E62" s="12" t="str">
        <f t="shared" ca="1" si="10"/>
        <v>✔</v>
      </c>
      <c r="F62" s="12" t="str">
        <f t="shared" ca="1" si="10"/>
        <v xml:space="preserve"> L</v>
      </c>
      <c r="G62" s="12" t="str">
        <f t="shared" ca="1" si="10"/>
        <v>✔</v>
      </c>
      <c r="H62" s="12" t="str">
        <f t="shared" ca="1" si="10"/>
        <v>❌</v>
      </c>
      <c r="I62" s="12" t="str">
        <f t="shared" ca="1" si="10"/>
        <v>✔</v>
      </c>
      <c r="J62" s="12" t="str">
        <f t="shared" ca="1" si="10"/>
        <v xml:space="preserve"> L</v>
      </c>
      <c r="K62" s="12" t="str">
        <f t="shared" ca="1" si="10"/>
        <v>❌</v>
      </c>
      <c r="L62" s="12" t="str">
        <f t="shared" ca="1" si="10"/>
        <v>❌</v>
      </c>
      <c r="M62" s="12" t="str">
        <f t="shared" ca="1" si="10"/>
        <v>❌</v>
      </c>
      <c r="N62" s="12" t="str">
        <f t="shared" ca="1" si="10"/>
        <v>✔</v>
      </c>
      <c r="O62" s="12" t="str">
        <f t="shared" ca="1" si="10"/>
        <v>❌</v>
      </c>
      <c r="P62" s="12" t="str">
        <f t="shared" ca="1" si="10"/>
        <v>✔</v>
      </c>
      <c r="Q62" s="12" t="str">
        <f t="shared" ca="1" si="10"/>
        <v xml:space="preserve"> L</v>
      </c>
      <c r="R62" s="12" t="str">
        <f t="shared" ca="1" si="10"/>
        <v>✔</v>
      </c>
      <c r="S62" s="12" t="str">
        <f t="shared" ca="1" si="10"/>
        <v xml:space="preserve"> L</v>
      </c>
      <c r="T62" s="12" t="str">
        <f t="shared" ca="1" si="10"/>
        <v>❌</v>
      </c>
      <c r="U62" s="12" t="str">
        <f t="shared" ca="1" si="10"/>
        <v>❌</v>
      </c>
      <c r="V62" s="12" t="str">
        <f t="shared" ca="1" si="10"/>
        <v>✔</v>
      </c>
      <c r="W62" s="12" t="str">
        <f t="shared" ca="1" si="10"/>
        <v xml:space="preserve"> L</v>
      </c>
      <c r="X62" s="12" t="str">
        <f t="shared" ca="1" si="10"/>
        <v>✔</v>
      </c>
      <c r="Y62" s="12" t="str">
        <f t="shared" ca="1" si="10"/>
        <v>✔</v>
      </c>
      <c r="Z62" s="12" t="str">
        <f t="shared" ca="1" si="10"/>
        <v>❌</v>
      </c>
      <c r="AA62" s="12" t="str">
        <f t="shared" ca="1" si="10"/>
        <v>✔</v>
      </c>
      <c r="AB62" s="12" t="str">
        <f t="shared" ca="1" si="10"/>
        <v>❌</v>
      </c>
      <c r="AC62" s="12" t="str">
        <f t="shared" ca="1" si="10"/>
        <v xml:space="preserve"> L</v>
      </c>
      <c r="AD62" s="12" t="str">
        <f t="shared" ca="1" si="10"/>
        <v>❌</v>
      </c>
      <c r="AE62" s="12" t="str">
        <f t="shared" ca="1" si="10"/>
        <v xml:space="preserve"> L</v>
      </c>
      <c r="AF62" s="12" t="str">
        <f t="shared" ca="1" si="10"/>
        <v>✔</v>
      </c>
      <c r="AG62" s="12" t="str">
        <f t="shared" ca="1" si="10"/>
        <v>✔</v>
      </c>
      <c r="AH62" s="9">
        <f t="shared" ca="1" si="2"/>
        <v>12</v>
      </c>
      <c r="AI62" s="9">
        <f t="shared" ca="1" si="3"/>
        <v>12</v>
      </c>
      <c r="AJ62" s="9">
        <f t="shared" ca="1" si="4"/>
        <v>7</v>
      </c>
    </row>
    <row r="63" spans="1:36">
      <c r="A63" s="9" t="s">
        <v>258</v>
      </c>
      <c r="B63" s="9" t="str">
        <f>VLOOKUP(A63, Master_Roster!A$2:B$102, 2, FALSE)</f>
        <v>Violet Cox</v>
      </c>
      <c r="C63" s="12" t="str">
        <f t="shared" ca="1" si="1"/>
        <v>✔</v>
      </c>
      <c r="D63" s="12" t="str">
        <f t="shared" ca="1" si="10"/>
        <v xml:space="preserve"> L</v>
      </c>
      <c r="E63" s="12" t="str">
        <f t="shared" ca="1" si="10"/>
        <v>✔</v>
      </c>
      <c r="F63" s="12" t="str">
        <f t="shared" ca="1" si="10"/>
        <v xml:space="preserve"> L</v>
      </c>
      <c r="G63" s="12" t="str">
        <f t="shared" ca="1" si="10"/>
        <v xml:space="preserve"> L</v>
      </c>
      <c r="H63" s="12" t="str">
        <f t="shared" ca="1" si="10"/>
        <v xml:space="preserve"> L</v>
      </c>
      <c r="I63" s="12" t="str">
        <f t="shared" ca="1" si="10"/>
        <v xml:space="preserve"> L</v>
      </c>
      <c r="J63" s="12" t="str">
        <f t="shared" ca="1" si="10"/>
        <v>❌</v>
      </c>
      <c r="K63" s="12" t="str">
        <f t="shared" ca="1" si="10"/>
        <v xml:space="preserve"> L</v>
      </c>
      <c r="L63" s="12" t="str">
        <f t="shared" ca="1" si="10"/>
        <v xml:space="preserve"> L</v>
      </c>
      <c r="M63" s="12" t="str">
        <f t="shared" ca="1" si="10"/>
        <v>✔</v>
      </c>
      <c r="N63" s="12" t="str">
        <f t="shared" ca="1" si="10"/>
        <v>✔</v>
      </c>
      <c r="O63" s="12" t="str">
        <f t="shared" ca="1" si="10"/>
        <v xml:space="preserve"> L</v>
      </c>
      <c r="P63" s="12" t="str">
        <f t="shared" ca="1" si="10"/>
        <v>✔</v>
      </c>
      <c r="Q63" s="12" t="str">
        <f t="shared" ca="1" si="10"/>
        <v>✔</v>
      </c>
      <c r="R63" s="12" t="str">
        <f t="shared" ca="1" si="10"/>
        <v>✔</v>
      </c>
      <c r="S63" s="12" t="str">
        <f t="shared" ca="1" si="10"/>
        <v>❌</v>
      </c>
      <c r="T63" s="12" t="str">
        <f t="shared" ca="1" si="10"/>
        <v xml:space="preserve"> L</v>
      </c>
      <c r="U63" s="12" t="str">
        <f t="shared" ca="1" si="10"/>
        <v>❌</v>
      </c>
      <c r="V63" s="12" t="str">
        <f t="shared" ca="1" si="10"/>
        <v>❌</v>
      </c>
      <c r="W63" s="12" t="str">
        <f t="shared" ca="1" si="10"/>
        <v>✔</v>
      </c>
      <c r="X63" s="12" t="str">
        <f t="shared" ca="1" si="10"/>
        <v>✔</v>
      </c>
      <c r="Y63" s="12" t="str">
        <f t="shared" ca="1" si="10"/>
        <v xml:space="preserve"> L</v>
      </c>
      <c r="Z63" s="12" t="str">
        <f t="shared" ca="1" si="10"/>
        <v>❌</v>
      </c>
      <c r="AA63" s="12" t="str">
        <f t="shared" ca="1" si="10"/>
        <v xml:space="preserve"> L</v>
      </c>
      <c r="AB63" s="12" t="str">
        <f t="shared" ca="1" si="10"/>
        <v xml:space="preserve"> L</v>
      </c>
      <c r="AC63" s="12" t="str">
        <f t="shared" ca="1" si="10"/>
        <v>✔</v>
      </c>
      <c r="AD63" s="12" t="str">
        <f t="shared" ca="1" si="10"/>
        <v xml:space="preserve"> L</v>
      </c>
      <c r="AE63" s="12" t="str">
        <f t="shared" ca="1" si="10"/>
        <v>❌</v>
      </c>
      <c r="AF63" s="12" t="str">
        <f t="shared" ca="1" si="10"/>
        <v>❌</v>
      </c>
      <c r="AG63" s="12" t="str">
        <f t="shared" ca="1" si="10"/>
        <v>❌</v>
      </c>
      <c r="AH63" s="9">
        <f t="shared" ca="1" si="2"/>
        <v>10</v>
      </c>
      <c r="AI63" s="9">
        <f t="shared" ca="1" si="3"/>
        <v>8</v>
      </c>
      <c r="AJ63" s="9">
        <f t="shared" ca="1" si="4"/>
        <v>13</v>
      </c>
    </row>
    <row r="64" spans="1:36">
      <c r="A64" s="9" t="s">
        <v>262</v>
      </c>
      <c r="B64" s="9" t="str">
        <f>VLOOKUP(A64, Master_Roster!A$2:B$102, 2, FALSE)</f>
        <v>Ryan Howard</v>
      </c>
      <c r="C64" s="12" t="str">
        <f t="shared" ca="1" si="1"/>
        <v>✔</v>
      </c>
      <c r="D64" s="12" t="str">
        <f t="shared" ref="D64:AG72" ca="1" si="11">CHOOSE(RANDBETWEEN(1, 3), "✔", " L", "❌")</f>
        <v>✔</v>
      </c>
      <c r="E64" s="12" t="str">
        <f t="shared" ca="1" si="11"/>
        <v>❌</v>
      </c>
      <c r="F64" s="12" t="str">
        <f t="shared" ca="1" si="11"/>
        <v>❌</v>
      </c>
      <c r="G64" s="12" t="str">
        <f t="shared" ca="1" si="11"/>
        <v>✔</v>
      </c>
      <c r="H64" s="12" t="str">
        <f t="shared" ca="1" si="11"/>
        <v>✔</v>
      </c>
      <c r="I64" s="12" t="str">
        <f t="shared" ca="1" si="11"/>
        <v>✔</v>
      </c>
      <c r="J64" s="12" t="str">
        <f t="shared" ca="1" si="11"/>
        <v>❌</v>
      </c>
      <c r="K64" s="12" t="str">
        <f t="shared" ca="1" si="11"/>
        <v xml:space="preserve"> L</v>
      </c>
      <c r="L64" s="12" t="str">
        <f t="shared" ca="1" si="11"/>
        <v>✔</v>
      </c>
      <c r="M64" s="12" t="str">
        <f t="shared" ca="1" si="11"/>
        <v>❌</v>
      </c>
      <c r="N64" s="12" t="str">
        <f t="shared" ca="1" si="11"/>
        <v>❌</v>
      </c>
      <c r="O64" s="12" t="str">
        <f t="shared" ca="1" si="11"/>
        <v>✔</v>
      </c>
      <c r="P64" s="12" t="str">
        <f t="shared" ca="1" si="11"/>
        <v>✔</v>
      </c>
      <c r="Q64" s="12" t="str">
        <f t="shared" ca="1" si="11"/>
        <v>❌</v>
      </c>
      <c r="R64" s="12" t="str">
        <f t="shared" ca="1" si="11"/>
        <v>✔</v>
      </c>
      <c r="S64" s="12" t="str">
        <f t="shared" ca="1" si="11"/>
        <v>❌</v>
      </c>
      <c r="T64" s="12" t="str">
        <f t="shared" ca="1" si="11"/>
        <v xml:space="preserve"> L</v>
      </c>
      <c r="U64" s="12" t="str">
        <f t="shared" ca="1" si="11"/>
        <v>❌</v>
      </c>
      <c r="V64" s="12" t="str">
        <f t="shared" ca="1" si="11"/>
        <v xml:space="preserve"> L</v>
      </c>
      <c r="W64" s="12" t="str">
        <f t="shared" ca="1" si="11"/>
        <v>✔</v>
      </c>
      <c r="X64" s="12" t="str">
        <f t="shared" ca="1" si="11"/>
        <v>❌</v>
      </c>
      <c r="Y64" s="12" t="str">
        <f t="shared" ca="1" si="11"/>
        <v>❌</v>
      </c>
      <c r="Z64" s="12" t="str">
        <f t="shared" ca="1" si="11"/>
        <v xml:space="preserve"> L</v>
      </c>
      <c r="AA64" s="12" t="str">
        <f t="shared" ca="1" si="11"/>
        <v>✔</v>
      </c>
      <c r="AB64" s="12" t="str">
        <f t="shared" ca="1" si="11"/>
        <v>✔</v>
      </c>
      <c r="AC64" s="12" t="str">
        <f t="shared" ca="1" si="11"/>
        <v>✔</v>
      </c>
      <c r="AD64" s="12" t="str">
        <f t="shared" ca="1" si="11"/>
        <v xml:space="preserve"> L</v>
      </c>
      <c r="AE64" s="12" t="str">
        <f t="shared" ca="1" si="11"/>
        <v xml:space="preserve"> L</v>
      </c>
      <c r="AF64" s="12" t="str">
        <f t="shared" ca="1" si="11"/>
        <v>❌</v>
      </c>
      <c r="AG64" s="12" t="str">
        <f t="shared" ca="1" si="11"/>
        <v>❌</v>
      </c>
      <c r="AH64" s="9">
        <f t="shared" ca="1" si="2"/>
        <v>13</v>
      </c>
      <c r="AI64" s="9">
        <f t="shared" ca="1" si="3"/>
        <v>12</v>
      </c>
      <c r="AJ64" s="9">
        <f t="shared" ca="1" si="4"/>
        <v>6</v>
      </c>
    </row>
    <row r="65" spans="1:36">
      <c r="A65" s="9" t="s">
        <v>266</v>
      </c>
      <c r="B65" s="9" t="str">
        <f>VLOOKUP(A65, Master_Roster!A$2:B$102, 2, FALSE)</f>
        <v>Aurora Ward</v>
      </c>
      <c r="C65" s="12" t="str">
        <f t="shared" ca="1" si="1"/>
        <v xml:space="preserve"> L</v>
      </c>
      <c r="D65" s="12" t="str">
        <f t="shared" ca="1" si="11"/>
        <v xml:space="preserve"> L</v>
      </c>
      <c r="E65" s="12" t="str">
        <f t="shared" ca="1" si="11"/>
        <v>❌</v>
      </c>
      <c r="F65" s="12" t="str">
        <f t="shared" ca="1" si="11"/>
        <v>✔</v>
      </c>
      <c r="G65" s="12" t="str">
        <f t="shared" ca="1" si="11"/>
        <v>❌</v>
      </c>
      <c r="H65" s="12" t="str">
        <f t="shared" ca="1" si="11"/>
        <v>❌</v>
      </c>
      <c r="I65" s="12" t="str">
        <f t="shared" ca="1" si="11"/>
        <v xml:space="preserve"> L</v>
      </c>
      <c r="J65" s="12" t="str">
        <f t="shared" ca="1" si="11"/>
        <v xml:space="preserve"> L</v>
      </c>
      <c r="K65" s="12" t="str">
        <f t="shared" ca="1" si="11"/>
        <v>❌</v>
      </c>
      <c r="L65" s="12" t="str">
        <f t="shared" ca="1" si="11"/>
        <v xml:space="preserve"> L</v>
      </c>
      <c r="M65" s="12" t="str">
        <f t="shared" ca="1" si="11"/>
        <v>✔</v>
      </c>
      <c r="N65" s="12" t="str">
        <f t="shared" ca="1" si="11"/>
        <v>❌</v>
      </c>
      <c r="O65" s="12" t="str">
        <f t="shared" ca="1" si="11"/>
        <v>❌</v>
      </c>
      <c r="P65" s="12" t="str">
        <f t="shared" ca="1" si="11"/>
        <v xml:space="preserve"> L</v>
      </c>
      <c r="Q65" s="12" t="str">
        <f t="shared" ca="1" si="11"/>
        <v>❌</v>
      </c>
      <c r="R65" s="12" t="str">
        <f t="shared" ca="1" si="11"/>
        <v>❌</v>
      </c>
      <c r="S65" s="12" t="str">
        <f t="shared" ca="1" si="11"/>
        <v xml:space="preserve"> L</v>
      </c>
      <c r="T65" s="12" t="str">
        <f t="shared" ca="1" si="11"/>
        <v>✔</v>
      </c>
      <c r="U65" s="12" t="str">
        <f t="shared" ca="1" si="11"/>
        <v>❌</v>
      </c>
      <c r="V65" s="12" t="str">
        <f t="shared" ca="1" si="11"/>
        <v>❌</v>
      </c>
      <c r="W65" s="12" t="str">
        <f t="shared" ca="1" si="11"/>
        <v>✔</v>
      </c>
      <c r="X65" s="12" t="str">
        <f t="shared" ca="1" si="11"/>
        <v>✔</v>
      </c>
      <c r="Y65" s="12" t="str">
        <f t="shared" ca="1" si="11"/>
        <v xml:space="preserve"> L</v>
      </c>
      <c r="Z65" s="12" t="str">
        <f t="shared" ca="1" si="11"/>
        <v>✔</v>
      </c>
      <c r="AA65" s="12" t="str">
        <f t="shared" ca="1" si="11"/>
        <v>❌</v>
      </c>
      <c r="AB65" s="12" t="str">
        <f t="shared" ca="1" si="11"/>
        <v xml:space="preserve"> L</v>
      </c>
      <c r="AC65" s="12" t="str">
        <f t="shared" ca="1" si="11"/>
        <v>❌</v>
      </c>
      <c r="AD65" s="12" t="str">
        <f t="shared" ca="1" si="11"/>
        <v xml:space="preserve"> L</v>
      </c>
      <c r="AE65" s="12" t="str">
        <f t="shared" ca="1" si="11"/>
        <v xml:space="preserve"> L</v>
      </c>
      <c r="AF65" s="12" t="str">
        <f t="shared" ca="1" si="11"/>
        <v xml:space="preserve"> L</v>
      </c>
      <c r="AG65" s="12" t="str">
        <f t="shared" ca="1" si="11"/>
        <v>❌</v>
      </c>
      <c r="AH65" s="9">
        <f t="shared" ca="1" si="2"/>
        <v>6</v>
      </c>
      <c r="AI65" s="9">
        <f t="shared" ca="1" si="3"/>
        <v>13</v>
      </c>
      <c r="AJ65" s="9">
        <f t="shared" ca="1" si="4"/>
        <v>12</v>
      </c>
    </row>
    <row r="66" spans="1:36">
      <c r="A66" s="9" t="s">
        <v>270</v>
      </c>
      <c r="B66" s="9" t="str">
        <f>VLOOKUP(A66, Master_Roster!A$2:B$102, 2, FALSE)</f>
        <v>Asher Torres</v>
      </c>
      <c r="C66" s="12" t="str">
        <f t="shared" ca="1" si="1"/>
        <v xml:space="preserve"> L</v>
      </c>
      <c r="D66" s="12" t="str">
        <f t="shared" ca="1" si="11"/>
        <v>✔</v>
      </c>
      <c r="E66" s="12" t="str">
        <f t="shared" ca="1" si="11"/>
        <v>✔</v>
      </c>
      <c r="F66" s="12" t="str">
        <f t="shared" ca="1" si="11"/>
        <v>❌</v>
      </c>
      <c r="G66" s="12" t="str">
        <f t="shared" ca="1" si="11"/>
        <v xml:space="preserve"> L</v>
      </c>
      <c r="H66" s="12" t="str">
        <f t="shared" ca="1" si="11"/>
        <v>❌</v>
      </c>
      <c r="I66" s="12" t="str">
        <f t="shared" ca="1" si="11"/>
        <v>✔</v>
      </c>
      <c r="J66" s="12" t="str">
        <f t="shared" ca="1" si="11"/>
        <v>✔</v>
      </c>
      <c r="K66" s="12" t="str">
        <f t="shared" ca="1" si="11"/>
        <v xml:space="preserve"> L</v>
      </c>
      <c r="L66" s="12" t="str">
        <f t="shared" ca="1" si="11"/>
        <v>✔</v>
      </c>
      <c r="M66" s="12" t="str">
        <f t="shared" ca="1" si="11"/>
        <v>✔</v>
      </c>
      <c r="N66" s="12" t="str">
        <f t="shared" ca="1" si="11"/>
        <v>❌</v>
      </c>
      <c r="O66" s="12" t="str">
        <f t="shared" ca="1" si="11"/>
        <v xml:space="preserve"> L</v>
      </c>
      <c r="P66" s="12" t="str">
        <f t="shared" ca="1" si="11"/>
        <v>❌</v>
      </c>
      <c r="Q66" s="12" t="str">
        <f t="shared" ca="1" si="11"/>
        <v>✔</v>
      </c>
      <c r="R66" s="12" t="str">
        <f t="shared" ca="1" si="11"/>
        <v>❌</v>
      </c>
      <c r="S66" s="12" t="str">
        <f t="shared" ca="1" si="11"/>
        <v xml:space="preserve"> L</v>
      </c>
      <c r="T66" s="12" t="str">
        <f t="shared" ca="1" si="11"/>
        <v xml:space="preserve"> L</v>
      </c>
      <c r="U66" s="12" t="str">
        <f t="shared" ca="1" si="11"/>
        <v>✔</v>
      </c>
      <c r="V66" s="12" t="str">
        <f t="shared" ca="1" si="11"/>
        <v>❌</v>
      </c>
      <c r="W66" s="12" t="str">
        <f t="shared" ca="1" si="11"/>
        <v>✔</v>
      </c>
      <c r="X66" s="12" t="str">
        <f t="shared" ca="1" si="11"/>
        <v>✔</v>
      </c>
      <c r="Y66" s="12" t="str">
        <f t="shared" ca="1" si="11"/>
        <v>✔</v>
      </c>
      <c r="Z66" s="12" t="str">
        <f t="shared" ca="1" si="11"/>
        <v>❌</v>
      </c>
      <c r="AA66" s="12" t="str">
        <f t="shared" ca="1" si="11"/>
        <v>✔</v>
      </c>
      <c r="AB66" s="12" t="str">
        <f t="shared" ca="1" si="11"/>
        <v>✔</v>
      </c>
      <c r="AC66" s="12" t="str">
        <f t="shared" ca="1" si="11"/>
        <v>✔</v>
      </c>
      <c r="AD66" s="12" t="str">
        <f t="shared" ca="1" si="11"/>
        <v>✔</v>
      </c>
      <c r="AE66" s="12" t="str">
        <f t="shared" ca="1" si="11"/>
        <v xml:space="preserve"> L</v>
      </c>
      <c r="AF66" s="12" t="str">
        <f t="shared" ca="1" si="11"/>
        <v>✔</v>
      </c>
      <c r="AG66" s="12" t="str">
        <f t="shared" ca="1" si="11"/>
        <v>❌</v>
      </c>
      <c r="AH66" s="9">
        <f t="shared" ca="1" si="2"/>
        <v>16</v>
      </c>
      <c r="AI66" s="9">
        <f t="shared" ca="1" si="3"/>
        <v>8</v>
      </c>
      <c r="AJ66" s="9">
        <f t="shared" ca="1" si="4"/>
        <v>7</v>
      </c>
    </row>
    <row r="67" spans="1:36">
      <c r="A67" s="9" t="s">
        <v>274</v>
      </c>
      <c r="B67" s="9" t="str">
        <f>VLOOKUP(A67, Master_Roster!A$2:B$102, 2, FALSE)</f>
        <v>Savannah Peterson</v>
      </c>
      <c r="C67" s="12" t="str">
        <f t="shared" ca="1" si="1"/>
        <v xml:space="preserve"> L</v>
      </c>
      <c r="D67" s="12" t="str">
        <f t="shared" ca="1" si="11"/>
        <v>✔</v>
      </c>
      <c r="E67" s="12" t="str">
        <f t="shared" ca="1" si="11"/>
        <v>✔</v>
      </c>
      <c r="F67" s="12" t="str">
        <f t="shared" ca="1" si="11"/>
        <v>❌</v>
      </c>
      <c r="G67" s="12" t="str">
        <f t="shared" ca="1" si="11"/>
        <v xml:space="preserve"> L</v>
      </c>
      <c r="H67" s="12" t="str">
        <f t="shared" ca="1" si="11"/>
        <v>❌</v>
      </c>
      <c r="I67" s="12" t="str">
        <f t="shared" ca="1" si="11"/>
        <v>✔</v>
      </c>
      <c r="J67" s="12" t="str">
        <f t="shared" ca="1" si="11"/>
        <v>✔</v>
      </c>
      <c r="K67" s="12" t="str">
        <f t="shared" ca="1" si="11"/>
        <v xml:space="preserve"> L</v>
      </c>
      <c r="L67" s="12" t="str">
        <f t="shared" ca="1" si="11"/>
        <v xml:space="preserve"> L</v>
      </c>
      <c r="M67" s="12" t="str">
        <f t="shared" ca="1" si="11"/>
        <v>❌</v>
      </c>
      <c r="N67" s="12" t="str">
        <f t="shared" ca="1" si="11"/>
        <v>✔</v>
      </c>
      <c r="O67" s="12" t="str">
        <f t="shared" ca="1" si="11"/>
        <v>❌</v>
      </c>
      <c r="P67" s="12" t="str">
        <f t="shared" ca="1" si="11"/>
        <v>✔</v>
      </c>
      <c r="Q67" s="12" t="str">
        <f t="shared" ca="1" si="11"/>
        <v>✔</v>
      </c>
      <c r="R67" s="12" t="str">
        <f t="shared" ca="1" si="11"/>
        <v xml:space="preserve"> L</v>
      </c>
      <c r="S67" s="12" t="str">
        <f t="shared" ca="1" si="11"/>
        <v>❌</v>
      </c>
      <c r="T67" s="12" t="str">
        <f t="shared" ca="1" si="11"/>
        <v>✔</v>
      </c>
      <c r="U67" s="12" t="str">
        <f t="shared" ca="1" si="11"/>
        <v>❌</v>
      </c>
      <c r="V67" s="12" t="str">
        <f t="shared" ca="1" si="11"/>
        <v>✔</v>
      </c>
      <c r="W67" s="12" t="str">
        <f t="shared" ca="1" si="11"/>
        <v>✔</v>
      </c>
      <c r="X67" s="12" t="str">
        <f t="shared" ca="1" si="11"/>
        <v>✔</v>
      </c>
      <c r="Y67" s="12" t="str">
        <f t="shared" ca="1" si="11"/>
        <v>❌</v>
      </c>
      <c r="Z67" s="12" t="str">
        <f t="shared" ca="1" si="11"/>
        <v>✔</v>
      </c>
      <c r="AA67" s="12" t="str">
        <f t="shared" ca="1" si="11"/>
        <v>✔</v>
      </c>
      <c r="AB67" s="12" t="str">
        <f t="shared" ca="1" si="11"/>
        <v>❌</v>
      </c>
      <c r="AC67" s="12" t="str">
        <f t="shared" ca="1" si="11"/>
        <v xml:space="preserve"> L</v>
      </c>
      <c r="AD67" s="12" t="str">
        <f t="shared" ca="1" si="11"/>
        <v>❌</v>
      </c>
      <c r="AE67" s="12" t="str">
        <f t="shared" ca="1" si="11"/>
        <v>❌</v>
      </c>
      <c r="AF67" s="12" t="str">
        <f t="shared" ca="1" si="11"/>
        <v xml:space="preserve"> L</v>
      </c>
      <c r="AG67" s="12" t="str">
        <f t="shared" ca="1" si="11"/>
        <v>❌</v>
      </c>
      <c r="AH67" s="9">
        <f t="shared" ca="1" si="2"/>
        <v>13</v>
      </c>
      <c r="AI67" s="9">
        <f t="shared" ca="1" si="3"/>
        <v>11</v>
      </c>
      <c r="AJ67" s="9">
        <f t="shared" ca="1" si="4"/>
        <v>7</v>
      </c>
    </row>
    <row r="68" spans="1:36">
      <c r="A68" s="9" t="s">
        <v>278</v>
      </c>
      <c r="B68" s="9" t="str">
        <f>VLOOKUP(A68, Master_Roster!A$2:B$102, 2, FALSE)</f>
        <v>Christian Gray</v>
      </c>
      <c r="C68" s="12" t="str">
        <f t="shared" ca="1" si="1"/>
        <v>✔</v>
      </c>
      <c r="D68" s="12" t="str">
        <f t="shared" ca="1" si="11"/>
        <v xml:space="preserve"> L</v>
      </c>
      <c r="E68" s="12" t="str">
        <f t="shared" ca="1" si="11"/>
        <v xml:space="preserve"> L</v>
      </c>
      <c r="F68" s="12" t="str">
        <f t="shared" ca="1" si="11"/>
        <v>✔</v>
      </c>
      <c r="G68" s="12" t="str">
        <f t="shared" ca="1" si="11"/>
        <v>✔</v>
      </c>
      <c r="H68" s="12" t="str">
        <f t="shared" ca="1" si="11"/>
        <v>❌</v>
      </c>
      <c r="I68" s="12" t="str">
        <f t="shared" ca="1" si="11"/>
        <v xml:space="preserve"> L</v>
      </c>
      <c r="J68" s="12" t="str">
        <f t="shared" ca="1" si="11"/>
        <v>❌</v>
      </c>
      <c r="K68" s="12" t="str">
        <f t="shared" ca="1" si="11"/>
        <v>✔</v>
      </c>
      <c r="L68" s="12" t="str">
        <f t="shared" ca="1" si="11"/>
        <v>✔</v>
      </c>
      <c r="M68" s="12" t="str">
        <f t="shared" ca="1" si="11"/>
        <v>❌</v>
      </c>
      <c r="N68" s="12" t="str">
        <f t="shared" ca="1" si="11"/>
        <v xml:space="preserve"> L</v>
      </c>
      <c r="O68" s="12" t="str">
        <f t="shared" ca="1" si="11"/>
        <v>❌</v>
      </c>
      <c r="P68" s="12" t="str">
        <f t="shared" ca="1" si="11"/>
        <v>❌</v>
      </c>
      <c r="Q68" s="12" t="str">
        <f t="shared" ca="1" si="11"/>
        <v>❌</v>
      </c>
      <c r="R68" s="12" t="str">
        <f t="shared" ca="1" si="11"/>
        <v>✔</v>
      </c>
      <c r="S68" s="12" t="str">
        <f t="shared" ca="1" si="11"/>
        <v>❌</v>
      </c>
      <c r="T68" s="12" t="str">
        <f t="shared" ca="1" si="11"/>
        <v xml:space="preserve"> L</v>
      </c>
      <c r="U68" s="12" t="str">
        <f t="shared" ca="1" si="11"/>
        <v>✔</v>
      </c>
      <c r="V68" s="12" t="str">
        <f t="shared" ca="1" si="11"/>
        <v>✔</v>
      </c>
      <c r="W68" s="12" t="str">
        <f t="shared" ca="1" si="11"/>
        <v xml:space="preserve"> L</v>
      </c>
      <c r="X68" s="12" t="str">
        <f t="shared" ca="1" si="11"/>
        <v>❌</v>
      </c>
      <c r="Y68" s="12" t="str">
        <f t="shared" ca="1" si="11"/>
        <v xml:space="preserve"> L</v>
      </c>
      <c r="Z68" s="12" t="str">
        <f t="shared" ca="1" si="11"/>
        <v>❌</v>
      </c>
      <c r="AA68" s="12" t="str">
        <f t="shared" ca="1" si="11"/>
        <v>❌</v>
      </c>
      <c r="AB68" s="12" t="str">
        <f t="shared" ca="1" si="11"/>
        <v>✔</v>
      </c>
      <c r="AC68" s="12" t="str">
        <f t="shared" ca="1" si="11"/>
        <v>❌</v>
      </c>
      <c r="AD68" s="12" t="str">
        <f t="shared" ca="1" si="11"/>
        <v>✔</v>
      </c>
      <c r="AE68" s="12" t="str">
        <f t="shared" ca="1" si="11"/>
        <v xml:space="preserve"> L</v>
      </c>
      <c r="AF68" s="12" t="str">
        <f t="shared" ca="1" si="11"/>
        <v>✔</v>
      </c>
      <c r="AG68" s="12" t="str">
        <f t="shared" ca="1" si="11"/>
        <v>❌</v>
      </c>
      <c r="AH68" s="9">
        <f t="shared" ca="1" si="2"/>
        <v>11</v>
      </c>
      <c r="AI68" s="9">
        <f t="shared" ca="1" si="3"/>
        <v>12</v>
      </c>
      <c r="AJ68" s="9">
        <f t="shared" ca="1" si="4"/>
        <v>8</v>
      </c>
    </row>
    <row r="69" spans="1:36">
      <c r="A69" s="9" t="s">
        <v>282</v>
      </c>
      <c r="B69" s="9" t="str">
        <f>VLOOKUP(A69, Master_Roster!A$2:B$102, 2, FALSE)</f>
        <v>Brooklyn Ramirez</v>
      </c>
      <c r="C69" s="12" t="str">
        <f t="shared" ref="C69:R103" ca="1" si="12">CHOOSE(RANDBETWEEN(1, 3), "✔", " L", "❌")</f>
        <v>✔</v>
      </c>
      <c r="D69" s="12" t="str">
        <f t="shared" ca="1" si="12"/>
        <v xml:space="preserve"> L</v>
      </c>
      <c r="E69" s="12" t="str">
        <f t="shared" ca="1" si="12"/>
        <v xml:space="preserve"> L</v>
      </c>
      <c r="F69" s="12" t="str">
        <f t="shared" ca="1" si="12"/>
        <v>✔</v>
      </c>
      <c r="G69" s="12" t="str">
        <f t="shared" ca="1" si="12"/>
        <v>❌</v>
      </c>
      <c r="H69" s="12" t="str">
        <f t="shared" ca="1" si="12"/>
        <v xml:space="preserve"> L</v>
      </c>
      <c r="I69" s="12" t="str">
        <f t="shared" ca="1" si="12"/>
        <v>✔</v>
      </c>
      <c r="J69" s="12" t="str">
        <f t="shared" ca="1" si="12"/>
        <v xml:space="preserve"> L</v>
      </c>
      <c r="K69" s="12" t="str">
        <f t="shared" ca="1" si="12"/>
        <v>✔</v>
      </c>
      <c r="L69" s="12" t="str">
        <f t="shared" ca="1" si="12"/>
        <v>✔</v>
      </c>
      <c r="M69" s="12" t="str">
        <f t="shared" ca="1" si="12"/>
        <v>✔</v>
      </c>
      <c r="N69" s="12" t="str">
        <f t="shared" ca="1" si="12"/>
        <v>❌</v>
      </c>
      <c r="O69" s="12" t="str">
        <f t="shared" ca="1" si="12"/>
        <v>❌</v>
      </c>
      <c r="P69" s="12" t="str">
        <f t="shared" ca="1" si="12"/>
        <v>❌</v>
      </c>
      <c r="Q69" s="12" t="str">
        <f t="shared" ca="1" si="12"/>
        <v xml:space="preserve"> L</v>
      </c>
      <c r="R69" s="12" t="str">
        <f t="shared" ca="1" si="12"/>
        <v>❌</v>
      </c>
      <c r="S69" s="12" t="str">
        <f t="shared" ca="1" si="11"/>
        <v>❌</v>
      </c>
      <c r="T69" s="12" t="str">
        <f t="shared" ca="1" si="11"/>
        <v>✔</v>
      </c>
      <c r="U69" s="12" t="str">
        <f t="shared" ca="1" si="11"/>
        <v>❌</v>
      </c>
      <c r="V69" s="12" t="str">
        <f t="shared" ca="1" si="11"/>
        <v xml:space="preserve"> L</v>
      </c>
      <c r="W69" s="12" t="str">
        <f t="shared" ca="1" si="11"/>
        <v>❌</v>
      </c>
      <c r="X69" s="12" t="str">
        <f t="shared" ca="1" si="11"/>
        <v xml:space="preserve"> L</v>
      </c>
      <c r="Y69" s="12" t="str">
        <f t="shared" ca="1" si="11"/>
        <v>✔</v>
      </c>
      <c r="Z69" s="12" t="str">
        <f t="shared" ca="1" si="11"/>
        <v xml:space="preserve"> L</v>
      </c>
      <c r="AA69" s="12" t="str">
        <f t="shared" ca="1" si="11"/>
        <v>✔</v>
      </c>
      <c r="AB69" s="12" t="str">
        <f t="shared" ca="1" si="11"/>
        <v>✔</v>
      </c>
      <c r="AC69" s="12" t="str">
        <f t="shared" ca="1" si="11"/>
        <v>❌</v>
      </c>
      <c r="AD69" s="12" t="str">
        <f t="shared" ca="1" si="11"/>
        <v>✔</v>
      </c>
      <c r="AE69" s="12" t="str">
        <f t="shared" ca="1" si="11"/>
        <v>✔</v>
      </c>
      <c r="AF69" s="12" t="str">
        <f t="shared" ca="1" si="11"/>
        <v>❌</v>
      </c>
      <c r="AG69" s="12" t="str">
        <f t="shared" ca="1" si="11"/>
        <v>✔</v>
      </c>
      <c r="AH69" s="9">
        <f t="shared" ref="AH69:AH103" ca="1" si="13">COUNTIF(C69:AG69, "✔")</f>
        <v>13</v>
      </c>
      <c r="AI69" s="9">
        <f t="shared" ref="AI69:AI103" ca="1" si="14">COUNTIF(C69:AG69, "❌")</f>
        <v>10</v>
      </c>
      <c r="AJ69" s="9">
        <f t="shared" ref="AJ69:AJ103" ca="1" si="15">COUNTIF(C69:AG69, " L")</f>
        <v>8</v>
      </c>
    </row>
    <row r="70" spans="1:36">
      <c r="A70" s="9" t="s">
        <v>286</v>
      </c>
      <c r="B70" s="9" t="str">
        <f>VLOOKUP(A70, Master_Roster!A$2:B$102, 2, FALSE)</f>
        <v>Hunter James</v>
      </c>
      <c r="C70" s="12" t="str">
        <f t="shared" ca="1" si="12"/>
        <v>❌</v>
      </c>
      <c r="D70" s="12" t="str">
        <f t="shared" ca="1" si="11"/>
        <v>❌</v>
      </c>
      <c r="E70" s="12" t="str">
        <f t="shared" ca="1" si="11"/>
        <v>❌</v>
      </c>
      <c r="F70" s="12" t="str">
        <f t="shared" ca="1" si="11"/>
        <v>❌</v>
      </c>
      <c r="G70" s="12" t="str">
        <f t="shared" ca="1" si="11"/>
        <v>❌</v>
      </c>
      <c r="H70" s="12" t="str">
        <f t="shared" ca="1" si="11"/>
        <v>✔</v>
      </c>
      <c r="I70" s="12" t="str">
        <f t="shared" ca="1" si="11"/>
        <v>✔</v>
      </c>
      <c r="J70" s="12" t="str">
        <f t="shared" ca="1" si="11"/>
        <v>✔</v>
      </c>
      <c r="K70" s="12" t="str">
        <f t="shared" ca="1" si="11"/>
        <v xml:space="preserve"> L</v>
      </c>
      <c r="L70" s="12" t="str">
        <f t="shared" ca="1" si="11"/>
        <v xml:space="preserve"> L</v>
      </c>
      <c r="M70" s="12" t="str">
        <f t="shared" ca="1" si="11"/>
        <v xml:space="preserve"> L</v>
      </c>
      <c r="N70" s="12" t="str">
        <f t="shared" ca="1" si="11"/>
        <v xml:space="preserve"> L</v>
      </c>
      <c r="O70" s="12" t="str">
        <f t="shared" ca="1" si="11"/>
        <v xml:space="preserve"> L</v>
      </c>
      <c r="P70" s="12" t="str">
        <f t="shared" ca="1" si="11"/>
        <v xml:space="preserve"> L</v>
      </c>
      <c r="Q70" s="12" t="str">
        <f t="shared" ca="1" si="11"/>
        <v>❌</v>
      </c>
      <c r="R70" s="12" t="str">
        <f t="shared" ca="1" si="11"/>
        <v>✔</v>
      </c>
      <c r="S70" s="12" t="str">
        <f t="shared" ca="1" si="11"/>
        <v>✔</v>
      </c>
      <c r="T70" s="12" t="str">
        <f t="shared" ca="1" si="11"/>
        <v>✔</v>
      </c>
      <c r="U70" s="12" t="str">
        <f t="shared" ca="1" si="11"/>
        <v>❌</v>
      </c>
      <c r="V70" s="12" t="str">
        <f t="shared" ca="1" si="11"/>
        <v>✔</v>
      </c>
      <c r="W70" s="12" t="str">
        <f t="shared" ca="1" si="11"/>
        <v>❌</v>
      </c>
      <c r="X70" s="12" t="str">
        <f t="shared" ca="1" si="11"/>
        <v xml:space="preserve"> L</v>
      </c>
      <c r="Y70" s="12" t="str">
        <f t="shared" ca="1" si="11"/>
        <v>✔</v>
      </c>
      <c r="Z70" s="12" t="str">
        <f t="shared" ca="1" si="11"/>
        <v>❌</v>
      </c>
      <c r="AA70" s="12" t="str">
        <f t="shared" ca="1" si="11"/>
        <v xml:space="preserve"> L</v>
      </c>
      <c r="AB70" s="12" t="str">
        <f t="shared" ca="1" si="11"/>
        <v xml:space="preserve"> L</v>
      </c>
      <c r="AC70" s="12" t="str">
        <f t="shared" ca="1" si="11"/>
        <v xml:space="preserve"> L</v>
      </c>
      <c r="AD70" s="12" t="str">
        <f t="shared" ca="1" si="11"/>
        <v>❌</v>
      </c>
      <c r="AE70" s="12" t="str">
        <f t="shared" ca="1" si="11"/>
        <v>✔</v>
      </c>
      <c r="AF70" s="12" t="str">
        <f t="shared" ca="1" si="11"/>
        <v>✔</v>
      </c>
      <c r="AG70" s="12" t="str">
        <f t="shared" ca="1" si="11"/>
        <v xml:space="preserve"> L</v>
      </c>
      <c r="AH70" s="9">
        <f t="shared" ca="1" si="13"/>
        <v>10</v>
      </c>
      <c r="AI70" s="9">
        <f t="shared" ca="1" si="14"/>
        <v>10</v>
      </c>
      <c r="AJ70" s="9">
        <f t="shared" ca="1" si="15"/>
        <v>11</v>
      </c>
    </row>
    <row r="71" spans="1:36">
      <c r="A71" s="9" t="s">
        <v>290</v>
      </c>
      <c r="B71" s="9" t="str">
        <f>VLOOKUP(A71, Master_Roster!A$2:B$102, 2, FALSE)</f>
        <v>Bella Watson</v>
      </c>
      <c r="C71" s="12" t="str">
        <f t="shared" ca="1" si="12"/>
        <v>❌</v>
      </c>
      <c r="D71" s="12" t="str">
        <f t="shared" ca="1" si="11"/>
        <v>❌</v>
      </c>
      <c r="E71" s="12" t="str">
        <f t="shared" ca="1" si="11"/>
        <v>✔</v>
      </c>
      <c r="F71" s="12" t="str">
        <f t="shared" ca="1" si="11"/>
        <v>❌</v>
      </c>
      <c r="G71" s="12" t="str">
        <f t="shared" ca="1" si="11"/>
        <v>✔</v>
      </c>
      <c r="H71" s="12" t="str">
        <f t="shared" ca="1" si="11"/>
        <v xml:space="preserve"> L</v>
      </c>
      <c r="I71" s="12" t="str">
        <f t="shared" ca="1" si="11"/>
        <v xml:space="preserve"> L</v>
      </c>
      <c r="J71" s="12" t="str">
        <f t="shared" ca="1" si="11"/>
        <v>✔</v>
      </c>
      <c r="K71" s="12" t="str">
        <f t="shared" ca="1" si="11"/>
        <v>✔</v>
      </c>
      <c r="L71" s="12" t="str">
        <f t="shared" ca="1" si="11"/>
        <v>✔</v>
      </c>
      <c r="M71" s="12" t="str">
        <f t="shared" ca="1" si="11"/>
        <v>✔</v>
      </c>
      <c r="N71" s="12" t="str">
        <f t="shared" ca="1" si="11"/>
        <v>❌</v>
      </c>
      <c r="O71" s="12" t="str">
        <f t="shared" ca="1" si="11"/>
        <v>✔</v>
      </c>
      <c r="P71" s="12" t="str">
        <f t="shared" ca="1" si="11"/>
        <v>✔</v>
      </c>
      <c r="Q71" s="12" t="str">
        <f t="shared" ca="1" si="11"/>
        <v>✔</v>
      </c>
      <c r="R71" s="12" t="str">
        <f t="shared" ca="1" si="11"/>
        <v xml:space="preserve"> L</v>
      </c>
      <c r="S71" s="12" t="str">
        <f t="shared" ca="1" si="11"/>
        <v>❌</v>
      </c>
      <c r="T71" s="12" t="str">
        <f t="shared" ca="1" si="11"/>
        <v>❌</v>
      </c>
      <c r="U71" s="12" t="str">
        <f t="shared" ca="1" si="11"/>
        <v xml:space="preserve"> L</v>
      </c>
      <c r="V71" s="12" t="str">
        <f t="shared" ca="1" si="11"/>
        <v>❌</v>
      </c>
      <c r="W71" s="12" t="str">
        <f t="shared" ca="1" si="11"/>
        <v>❌</v>
      </c>
      <c r="X71" s="12" t="str">
        <f t="shared" ca="1" si="11"/>
        <v>❌</v>
      </c>
      <c r="Y71" s="12" t="str">
        <f t="shared" ca="1" si="11"/>
        <v>✔</v>
      </c>
      <c r="Z71" s="12" t="str">
        <f t="shared" ca="1" si="11"/>
        <v xml:space="preserve"> L</v>
      </c>
      <c r="AA71" s="12" t="str">
        <f t="shared" ca="1" si="11"/>
        <v xml:space="preserve"> L</v>
      </c>
      <c r="AB71" s="12" t="str">
        <f t="shared" ca="1" si="11"/>
        <v>✔</v>
      </c>
      <c r="AC71" s="12" t="str">
        <f t="shared" ca="1" si="11"/>
        <v>❌</v>
      </c>
      <c r="AD71" s="12" t="str">
        <f t="shared" ca="1" si="11"/>
        <v xml:space="preserve"> L</v>
      </c>
      <c r="AE71" s="12" t="str">
        <f t="shared" ca="1" si="11"/>
        <v>✔</v>
      </c>
      <c r="AF71" s="12" t="str">
        <f t="shared" ca="1" si="11"/>
        <v xml:space="preserve"> L</v>
      </c>
      <c r="AG71" s="12" t="str">
        <f t="shared" ca="1" si="11"/>
        <v>❌</v>
      </c>
      <c r="AH71" s="9">
        <f t="shared" ca="1" si="13"/>
        <v>12</v>
      </c>
      <c r="AI71" s="9">
        <f t="shared" ca="1" si="14"/>
        <v>11</v>
      </c>
      <c r="AJ71" s="9">
        <f t="shared" ca="1" si="15"/>
        <v>8</v>
      </c>
    </row>
    <row r="72" spans="1:36">
      <c r="A72" s="9" t="s">
        <v>294</v>
      </c>
      <c r="B72" s="9" t="str">
        <f>VLOOKUP(A72, Master_Roster!A$2:B$102, 2, FALSE)</f>
        <v>Eli Brooks</v>
      </c>
      <c r="C72" s="12" t="str">
        <f t="shared" ca="1" si="12"/>
        <v>✔</v>
      </c>
      <c r="D72" s="12" t="str">
        <f t="shared" ca="1" si="11"/>
        <v>❌</v>
      </c>
      <c r="E72" s="12" t="str">
        <f t="shared" ca="1" si="11"/>
        <v xml:space="preserve"> L</v>
      </c>
      <c r="F72" s="12" t="str">
        <f t="shared" ca="1" si="11"/>
        <v>✔</v>
      </c>
      <c r="G72" s="12" t="str">
        <f t="shared" ca="1" si="11"/>
        <v>✔</v>
      </c>
      <c r="H72" s="12" t="str">
        <f t="shared" ca="1" si="11"/>
        <v>✔</v>
      </c>
      <c r="I72" s="12" t="str">
        <f t="shared" ca="1" si="11"/>
        <v xml:space="preserve"> L</v>
      </c>
      <c r="J72" s="12" t="str">
        <f t="shared" ca="1" si="11"/>
        <v>✔</v>
      </c>
      <c r="K72" s="12" t="str">
        <f t="shared" ca="1" si="11"/>
        <v>✔</v>
      </c>
      <c r="L72" s="12" t="str">
        <f t="shared" ca="1" si="11"/>
        <v>❌</v>
      </c>
      <c r="M72" s="12" t="str">
        <f t="shared" ca="1" si="11"/>
        <v xml:space="preserve"> L</v>
      </c>
      <c r="N72" s="12" t="str">
        <f t="shared" ca="1" si="11"/>
        <v>❌</v>
      </c>
      <c r="O72" s="12" t="str">
        <f t="shared" ca="1" si="11"/>
        <v xml:space="preserve"> L</v>
      </c>
      <c r="P72" s="12" t="str">
        <f t="shared" ca="1" si="11"/>
        <v>❌</v>
      </c>
      <c r="Q72" s="12" t="str">
        <f t="shared" ca="1" si="11"/>
        <v>❌</v>
      </c>
      <c r="R72" s="12" t="str">
        <f t="shared" ca="1" si="11"/>
        <v>❌</v>
      </c>
      <c r="S72" s="12" t="str">
        <f t="shared" ca="1" si="11"/>
        <v>✔</v>
      </c>
      <c r="T72" s="12" t="str">
        <f t="shared" ca="1" si="11"/>
        <v>❌</v>
      </c>
      <c r="U72" s="12" t="str">
        <f t="shared" ca="1" si="11"/>
        <v>❌</v>
      </c>
      <c r="V72" s="12" t="str">
        <f t="shared" ca="1" si="11"/>
        <v>✔</v>
      </c>
      <c r="W72" s="12" t="str">
        <f t="shared" ca="1" si="11"/>
        <v>❌</v>
      </c>
      <c r="X72" s="12" t="str">
        <f t="shared" ca="1" si="11"/>
        <v>✔</v>
      </c>
      <c r="Y72" s="12" t="str">
        <f t="shared" ca="1" si="11"/>
        <v>❌</v>
      </c>
      <c r="Z72" s="12" t="str">
        <f t="shared" ca="1" si="11"/>
        <v>✔</v>
      </c>
      <c r="AA72" s="12" t="str">
        <f t="shared" ca="1" si="11"/>
        <v>✔</v>
      </c>
      <c r="AB72" s="12" t="str">
        <f t="shared" ca="1" si="11"/>
        <v>✔</v>
      </c>
      <c r="AC72" s="12" t="str">
        <f t="shared" ca="1" si="11"/>
        <v xml:space="preserve"> L</v>
      </c>
      <c r="AD72" s="12" t="str">
        <f t="shared" ca="1" si="11"/>
        <v>✔</v>
      </c>
      <c r="AE72" s="12" t="str">
        <f t="shared" ca="1" si="11"/>
        <v>✔</v>
      </c>
      <c r="AF72" s="12" t="str">
        <f t="shared" ca="1" si="11"/>
        <v xml:space="preserve"> L</v>
      </c>
      <c r="AG72" s="12" t="str">
        <f t="shared" ca="1" si="11"/>
        <v>❌</v>
      </c>
      <c r="AH72" s="9">
        <f t="shared" ca="1" si="13"/>
        <v>14</v>
      </c>
      <c r="AI72" s="9">
        <f t="shared" ca="1" si="14"/>
        <v>11</v>
      </c>
      <c r="AJ72" s="9">
        <f t="shared" ca="1" si="15"/>
        <v>6</v>
      </c>
    </row>
    <row r="73" spans="1:36">
      <c r="A73" s="9" t="s">
        <v>298</v>
      </c>
      <c r="B73" s="9" t="str">
        <f>VLOOKUP(A73, Master_Roster!A$2:B$102, 2, FALSE)</f>
        <v>Skylar Kelly</v>
      </c>
      <c r="C73" s="12" t="str">
        <f t="shared" ca="1" si="12"/>
        <v>❌</v>
      </c>
      <c r="D73" s="12" t="str">
        <f t="shared" ref="D73:AG81" ca="1" si="16">CHOOSE(RANDBETWEEN(1, 3), "✔", " L", "❌")</f>
        <v xml:space="preserve"> L</v>
      </c>
      <c r="E73" s="12" t="str">
        <f t="shared" ca="1" si="16"/>
        <v xml:space="preserve"> L</v>
      </c>
      <c r="F73" s="12" t="str">
        <f t="shared" ca="1" si="16"/>
        <v>✔</v>
      </c>
      <c r="G73" s="12" t="str">
        <f t="shared" ca="1" si="16"/>
        <v xml:space="preserve"> L</v>
      </c>
      <c r="H73" s="12" t="str">
        <f t="shared" ca="1" si="16"/>
        <v xml:space="preserve"> L</v>
      </c>
      <c r="I73" s="12" t="str">
        <f t="shared" ca="1" si="16"/>
        <v>❌</v>
      </c>
      <c r="J73" s="12" t="str">
        <f t="shared" ca="1" si="16"/>
        <v>❌</v>
      </c>
      <c r="K73" s="12" t="str">
        <f t="shared" ca="1" si="16"/>
        <v xml:space="preserve"> L</v>
      </c>
      <c r="L73" s="12" t="str">
        <f t="shared" ca="1" si="16"/>
        <v xml:space="preserve"> L</v>
      </c>
      <c r="M73" s="12" t="str">
        <f t="shared" ca="1" si="16"/>
        <v xml:space="preserve"> L</v>
      </c>
      <c r="N73" s="12" t="str">
        <f t="shared" ca="1" si="16"/>
        <v>❌</v>
      </c>
      <c r="O73" s="12" t="str">
        <f t="shared" ca="1" si="16"/>
        <v xml:space="preserve"> L</v>
      </c>
      <c r="P73" s="12" t="str">
        <f t="shared" ca="1" si="16"/>
        <v>❌</v>
      </c>
      <c r="Q73" s="12" t="str">
        <f t="shared" ca="1" si="16"/>
        <v xml:space="preserve"> L</v>
      </c>
      <c r="R73" s="12" t="str">
        <f t="shared" ca="1" si="16"/>
        <v>✔</v>
      </c>
      <c r="S73" s="12" t="str">
        <f t="shared" ca="1" si="16"/>
        <v>❌</v>
      </c>
      <c r="T73" s="12" t="str">
        <f t="shared" ca="1" si="16"/>
        <v>✔</v>
      </c>
      <c r="U73" s="12" t="str">
        <f t="shared" ca="1" si="16"/>
        <v>❌</v>
      </c>
      <c r="V73" s="12" t="str">
        <f t="shared" ca="1" si="16"/>
        <v xml:space="preserve"> L</v>
      </c>
      <c r="W73" s="12" t="str">
        <f t="shared" ca="1" si="16"/>
        <v>✔</v>
      </c>
      <c r="X73" s="12" t="str">
        <f t="shared" ca="1" si="16"/>
        <v>✔</v>
      </c>
      <c r="Y73" s="12" t="str">
        <f t="shared" ca="1" si="16"/>
        <v>✔</v>
      </c>
      <c r="Z73" s="12" t="str">
        <f t="shared" ca="1" si="16"/>
        <v>❌</v>
      </c>
      <c r="AA73" s="12" t="str">
        <f t="shared" ca="1" si="16"/>
        <v>✔</v>
      </c>
      <c r="AB73" s="12" t="str">
        <f t="shared" ca="1" si="16"/>
        <v>✔</v>
      </c>
      <c r="AC73" s="12" t="str">
        <f t="shared" ca="1" si="16"/>
        <v>✔</v>
      </c>
      <c r="AD73" s="12" t="str">
        <f t="shared" ca="1" si="16"/>
        <v>❌</v>
      </c>
      <c r="AE73" s="12" t="str">
        <f t="shared" ca="1" si="16"/>
        <v xml:space="preserve"> L</v>
      </c>
      <c r="AF73" s="12" t="str">
        <f t="shared" ca="1" si="16"/>
        <v xml:space="preserve"> L</v>
      </c>
      <c r="AG73" s="12" t="str">
        <f t="shared" ca="1" si="16"/>
        <v>❌</v>
      </c>
      <c r="AH73" s="9">
        <f t="shared" ca="1" si="13"/>
        <v>9</v>
      </c>
      <c r="AI73" s="9">
        <f t="shared" ca="1" si="14"/>
        <v>10</v>
      </c>
      <c r="AJ73" s="9">
        <f t="shared" ca="1" si="15"/>
        <v>12</v>
      </c>
    </row>
    <row r="74" spans="1:36">
      <c r="A74" s="9" t="s">
        <v>302</v>
      </c>
      <c r="B74" s="9" t="str">
        <f>VLOOKUP(A74, Master_Roster!A$2:B$102, 2, FALSE)</f>
        <v>Jonathan Sanders</v>
      </c>
      <c r="C74" s="12" t="str">
        <f t="shared" ca="1" si="12"/>
        <v>✔</v>
      </c>
      <c r="D74" s="12" t="str">
        <f t="shared" ca="1" si="16"/>
        <v>✔</v>
      </c>
      <c r="E74" s="12" t="str">
        <f t="shared" ca="1" si="16"/>
        <v>❌</v>
      </c>
      <c r="F74" s="12" t="str">
        <f t="shared" ca="1" si="16"/>
        <v>✔</v>
      </c>
      <c r="G74" s="12" t="str">
        <f t="shared" ca="1" si="16"/>
        <v xml:space="preserve"> L</v>
      </c>
      <c r="H74" s="12" t="str">
        <f t="shared" ca="1" si="16"/>
        <v>❌</v>
      </c>
      <c r="I74" s="12" t="str">
        <f t="shared" ca="1" si="16"/>
        <v>❌</v>
      </c>
      <c r="J74" s="12" t="str">
        <f t="shared" ca="1" si="16"/>
        <v xml:space="preserve"> L</v>
      </c>
      <c r="K74" s="12" t="str">
        <f t="shared" ca="1" si="16"/>
        <v>✔</v>
      </c>
      <c r="L74" s="12" t="str">
        <f t="shared" ca="1" si="16"/>
        <v xml:space="preserve"> L</v>
      </c>
      <c r="M74" s="12" t="str">
        <f t="shared" ca="1" si="16"/>
        <v>❌</v>
      </c>
      <c r="N74" s="12" t="str">
        <f t="shared" ca="1" si="16"/>
        <v>✔</v>
      </c>
      <c r="O74" s="12" t="str">
        <f t="shared" ca="1" si="16"/>
        <v xml:space="preserve"> L</v>
      </c>
      <c r="P74" s="12" t="str">
        <f t="shared" ca="1" si="16"/>
        <v>❌</v>
      </c>
      <c r="Q74" s="12" t="str">
        <f t="shared" ca="1" si="16"/>
        <v>✔</v>
      </c>
      <c r="R74" s="12" t="str">
        <f t="shared" ca="1" si="16"/>
        <v>❌</v>
      </c>
      <c r="S74" s="12" t="str">
        <f t="shared" ca="1" si="16"/>
        <v xml:space="preserve"> L</v>
      </c>
      <c r="T74" s="12" t="str">
        <f t="shared" ca="1" si="16"/>
        <v xml:space="preserve"> L</v>
      </c>
      <c r="U74" s="12" t="str">
        <f t="shared" ca="1" si="16"/>
        <v>✔</v>
      </c>
      <c r="V74" s="12" t="str">
        <f t="shared" ca="1" si="16"/>
        <v xml:space="preserve"> L</v>
      </c>
      <c r="W74" s="12" t="str">
        <f t="shared" ca="1" si="16"/>
        <v>✔</v>
      </c>
      <c r="X74" s="12" t="str">
        <f t="shared" ca="1" si="16"/>
        <v xml:space="preserve"> L</v>
      </c>
      <c r="Y74" s="12" t="str">
        <f t="shared" ca="1" si="16"/>
        <v xml:space="preserve"> L</v>
      </c>
      <c r="Z74" s="12" t="str">
        <f t="shared" ca="1" si="16"/>
        <v>✔</v>
      </c>
      <c r="AA74" s="12" t="str">
        <f t="shared" ca="1" si="16"/>
        <v>❌</v>
      </c>
      <c r="AB74" s="12" t="str">
        <f t="shared" ca="1" si="16"/>
        <v>✔</v>
      </c>
      <c r="AC74" s="12" t="str">
        <f t="shared" ca="1" si="16"/>
        <v>✔</v>
      </c>
      <c r="AD74" s="12" t="str">
        <f t="shared" ca="1" si="16"/>
        <v xml:space="preserve"> L</v>
      </c>
      <c r="AE74" s="12" t="str">
        <f t="shared" ca="1" si="16"/>
        <v>✔</v>
      </c>
      <c r="AF74" s="12" t="str">
        <f t="shared" ca="1" si="16"/>
        <v>✔</v>
      </c>
      <c r="AG74" s="12" t="str">
        <f t="shared" ca="1" si="16"/>
        <v xml:space="preserve"> L</v>
      </c>
      <c r="AH74" s="9">
        <f t="shared" ca="1" si="13"/>
        <v>13</v>
      </c>
      <c r="AI74" s="9">
        <f t="shared" ca="1" si="14"/>
        <v>7</v>
      </c>
      <c r="AJ74" s="9">
        <f t="shared" ca="1" si="15"/>
        <v>11</v>
      </c>
    </row>
    <row r="75" spans="1:36">
      <c r="A75" s="9" t="s">
        <v>306</v>
      </c>
      <c r="B75" s="9" t="str">
        <f>VLOOKUP(A75, Master_Roster!A$2:B$102, 2, FALSE)</f>
        <v>Paisley Price</v>
      </c>
      <c r="C75" s="12" t="str">
        <f t="shared" ca="1" si="12"/>
        <v xml:space="preserve"> L</v>
      </c>
      <c r="D75" s="12" t="str">
        <f t="shared" ca="1" si="16"/>
        <v>✔</v>
      </c>
      <c r="E75" s="12" t="str">
        <f t="shared" ca="1" si="16"/>
        <v>❌</v>
      </c>
      <c r="F75" s="12" t="str">
        <f t="shared" ca="1" si="16"/>
        <v>✔</v>
      </c>
      <c r="G75" s="12" t="str">
        <f t="shared" ca="1" si="16"/>
        <v>✔</v>
      </c>
      <c r="H75" s="12" t="str">
        <f t="shared" ca="1" si="16"/>
        <v>❌</v>
      </c>
      <c r="I75" s="12" t="str">
        <f t="shared" ca="1" si="16"/>
        <v>❌</v>
      </c>
      <c r="J75" s="12" t="str">
        <f t="shared" ca="1" si="16"/>
        <v>❌</v>
      </c>
      <c r="K75" s="12" t="str">
        <f t="shared" ca="1" si="16"/>
        <v>✔</v>
      </c>
      <c r="L75" s="12" t="str">
        <f t="shared" ca="1" si="16"/>
        <v xml:space="preserve"> L</v>
      </c>
      <c r="M75" s="12" t="str">
        <f t="shared" ca="1" si="16"/>
        <v>❌</v>
      </c>
      <c r="N75" s="12" t="str">
        <f t="shared" ca="1" si="16"/>
        <v>❌</v>
      </c>
      <c r="O75" s="12" t="str">
        <f t="shared" ca="1" si="16"/>
        <v>❌</v>
      </c>
      <c r="P75" s="12" t="str">
        <f t="shared" ca="1" si="16"/>
        <v>✔</v>
      </c>
      <c r="Q75" s="12" t="str">
        <f t="shared" ca="1" si="16"/>
        <v xml:space="preserve"> L</v>
      </c>
      <c r="R75" s="12" t="str">
        <f t="shared" ca="1" si="16"/>
        <v xml:space="preserve"> L</v>
      </c>
      <c r="S75" s="12" t="str">
        <f t="shared" ca="1" si="16"/>
        <v>❌</v>
      </c>
      <c r="T75" s="12" t="str">
        <f t="shared" ca="1" si="16"/>
        <v>❌</v>
      </c>
      <c r="U75" s="12" t="str">
        <f t="shared" ca="1" si="16"/>
        <v xml:space="preserve"> L</v>
      </c>
      <c r="V75" s="12" t="str">
        <f t="shared" ca="1" si="16"/>
        <v>✔</v>
      </c>
      <c r="W75" s="12" t="str">
        <f t="shared" ca="1" si="16"/>
        <v xml:space="preserve"> L</v>
      </c>
      <c r="X75" s="12" t="str">
        <f t="shared" ca="1" si="16"/>
        <v>❌</v>
      </c>
      <c r="Y75" s="12" t="str">
        <f t="shared" ca="1" si="16"/>
        <v>✔</v>
      </c>
      <c r="Z75" s="12" t="str">
        <f t="shared" ca="1" si="16"/>
        <v>❌</v>
      </c>
      <c r="AA75" s="12" t="str">
        <f t="shared" ca="1" si="16"/>
        <v xml:space="preserve"> L</v>
      </c>
      <c r="AB75" s="12" t="str">
        <f t="shared" ca="1" si="16"/>
        <v xml:space="preserve"> L</v>
      </c>
      <c r="AC75" s="12" t="str">
        <f t="shared" ca="1" si="16"/>
        <v>❌</v>
      </c>
      <c r="AD75" s="12" t="str">
        <f t="shared" ca="1" si="16"/>
        <v xml:space="preserve"> L</v>
      </c>
      <c r="AE75" s="12" t="str">
        <f t="shared" ca="1" si="16"/>
        <v>❌</v>
      </c>
      <c r="AF75" s="12" t="str">
        <f t="shared" ca="1" si="16"/>
        <v>✔</v>
      </c>
      <c r="AG75" s="12" t="str">
        <f t="shared" ca="1" si="16"/>
        <v xml:space="preserve"> L</v>
      </c>
      <c r="AH75" s="9">
        <f t="shared" ca="1" si="13"/>
        <v>8</v>
      </c>
      <c r="AI75" s="9">
        <f t="shared" ca="1" si="14"/>
        <v>13</v>
      </c>
      <c r="AJ75" s="9">
        <f t="shared" ca="1" si="15"/>
        <v>10</v>
      </c>
    </row>
    <row r="76" spans="1:36">
      <c r="A76" s="9" t="s">
        <v>310</v>
      </c>
      <c r="B76" s="9" t="str">
        <f>VLOOKUP(A76, Master_Roster!A$2:B$102, 2, FALSE)</f>
        <v>Nolan Bennett</v>
      </c>
      <c r="C76" s="12" t="str">
        <f t="shared" ca="1" si="12"/>
        <v xml:space="preserve"> L</v>
      </c>
      <c r="D76" s="12" t="str">
        <f t="shared" ca="1" si="16"/>
        <v xml:space="preserve"> L</v>
      </c>
      <c r="E76" s="12" t="str">
        <f t="shared" ca="1" si="16"/>
        <v>✔</v>
      </c>
      <c r="F76" s="12" t="str">
        <f t="shared" ca="1" si="16"/>
        <v>❌</v>
      </c>
      <c r="G76" s="12" t="str">
        <f t="shared" ca="1" si="16"/>
        <v xml:space="preserve"> L</v>
      </c>
      <c r="H76" s="12" t="str">
        <f t="shared" ca="1" si="16"/>
        <v xml:space="preserve"> L</v>
      </c>
      <c r="I76" s="12" t="str">
        <f t="shared" ca="1" si="16"/>
        <v>❌</v>
      </c>
      <c r="J76" s="12" t="str">
        <f t="shared" ca="1" si="16"/>
        <v>✔</v>
      </c>
      <c r="K76" s="12" t="str">
        <f t="shared" ca="1" si="16"/>
        <v>✔</v>
      </c>
      <c r="L76" s="12" t="str">
        <f t="shared" ca="1" si="16"/>
        <v>❌</v>
      </c>
      <c r="M76" s="12" t="str">
        <f t="shared" ca="1" si="16"/>
        <v>✔</v>
      </c>
      <c r="N76" s="12" t="str">
        <f t="shared" ca="1" si="16"/>
        <v>✔</v>
      </c>
      <c r="O76" s="12" t="str">
        <f t="shared" ca="1" si="16"/>
        <v>✔</v>
      </c>
      <c r="P76" s="12" t="str">
        <f t="shared" ca="1" si="16"/>
        <v xml:space="preserve"> L</v>
      </c>
      <c r="Q76" s="12" t="str">
        <f t="shared" ca="1" si="16"/>
        <v>✔</v>
      </c>
      <c r="R76" s="12" t="str">
        <f t="shared" ca="1" si="16"/>
        <v xml:space="preserve"> L</v>
      </c>
      <c r="S76" s="12" t="str">
        <f t="shared" ca="1" si="16"/>
        <v>✔</v>
      </c>
      <c r="T76" s="12" t="str">
        <f t="shared" ca="1" si="16"/>
        <v>❌</v>
      </c>
      <c r="U76" s="12" t="str">
        <f t="shared" ca="1" si="16"/>
        <v>✔</v>
      </c>
      <c r="V76" s="12" t="str">
        <f t="shared" ca="1" si="16"/>
        <v>❌</v>
      </c>
      <c r="W76" s="12" t="str">
        <f t="shared" ca="1" si="16"/>
        <v>❌</v>
      </c>
      <c r="X76" s="12" t="str">
        <f t="shared" ca="1" si="16"/>
        <v>✔</v>
      </c>
      <c r="Y76" s="12" t="str">
        <f t="shared" ca="1" si="16"/>
        <v>✔</v>
      </c>
      <c r="Z76" s="12" t="str">
        <f t="shared" ca="1" si="16"/>
        <v xml:space="preserve"> L</v>
      </c>
      <c r="AA76" s="12" t="str">
        <f t="shared" ca="1" si="16"/>
        <v xml:space="preserve"> L</v>
      </c>
      <c r="AB76" s="12" t="str">
        <f t="shared" ca="1" si="16"/>
        <v xml:space="preserve"> L</v>
      </c>
      <c r="AC76" s="12" t="str">
        <f t="shared" ca="1" si="16"/>
        <v xml:space="preserve"> L</v>
      </c>
      <c r="AD76" s="12" t="str">
        <f t="shared" ca="1" si="16"/>
        <v xml:space="preserve"> L</v>
      </c>
      <c r="AE76" s="12" t="str">
        <f t="shared" ca="1" si="16"/>
        <v>❌</v>
      </c>
      <c r="AF76" s="12" t="str">
        <f t="shared" ca="1" si="16"/>
        <v>✔</v>
      </c>
      <c r="AG76" s="12" t="str">
        <f t="shared" ca="1" si="16"/>
        <v xml:space="preserve"> L</v>
      </c>
      <c r="AH76" s="9">
        <f t="shared" ca="1" si="13"/>
        <v>12</v>
      </c>
      <c r="AI76" s="9">
        <f t="shared" ca="1" si="14"/>
        <v>7</v>
      </c>
      <c r="AJ76" s="9">
        <f t="shared" ca="1" si="15"/>
        <v>12</v>
      </c>
    </row>
    <row r="77" spans="1:36">
      <c r="A77" s="9" t="s">
        <v>314</v>
      </c>
      <c r="B77" s="9" t="str">
        <f>VLOOKUP(A77, Master_Roster!A$2:B$102, 2, FALSE)</f>
        <v>Caroline Wood</v>
      </c>
      <c r="C77" s="12" t="str">
        <f t="shared" ca="1" si="12"/>
        <v>✔</v>
      </c>
      <c r="D77" s="12" t="str">
        <f t="shared" ca="1" si="16"/>
        <v>❌</v>
      </c>
      <c r="E77" s="12" t="str">
        <f t="shared" ca="1" si="16"/>
        <v>❌</v>
      </c>
      <c r="F77" s="12" t="str">
        <f t="shared" ca="1" si="16"/>
        <v xml:space="preserve"> L</v>
      </c>
      <c r="G77" s="12" t="str">
        <f t="shared" ca="1" si="16"/>
        <v xml:space="preserve"> L</v>
      </c>
      <c r="H77" s="12" t="str">
        <f t="shared" ca="1" si="16"/>
        <v xml:space="preserve"> L</v>
      </c>
      <c r="I77" s="12" t="str">
        <f t="shared" ca="1" si="16"/>
        <v>❌</v>
      </c>
      <c r="J77" s="12" t="str">
        <f t="shared" ca="1" si="16"/>
        <v>✔</v>
      </c>
      <c r="K77" s="12" t="str">
        <f t="shared" ca="1" si="16"/>
        <v>✔</v>
      </c>
      <c r="L77" s="12" t="str">
        <f t="shared" ca="1" si="16"/>
        <v>❌</v>
      </c>
      <c r="M77" s="12" t="str">
        <f t="shared" ca="1" si="16"/>
        <v>✔</v>
      </c>
      <c r="N77" s="12" t="str">
        <f t="shared" ca="1" si="16"/>
        <v xml:space="preserve"> L</v>
      </c>
      <c r="O77" s="12" t="str">
        <f t="shared" ca="1" si="16"/>
        <v>❌</v>
      </c>
      <c r="P77" s="12" t="str">
        <f t="shared" ca="1" si="16"/>
        <v>❌</v>
      </c>
      <c r="Q77" s="12" t="str">
        <f t="shared" ca="1" si="16"/>
        <v xml:space="preserve"> L</v>
      </c>
      <c r="R77" s="12" t="str">
        <f t="shared" ca="1" si="16"/>
        <v>❌</v>
      </c>
      <c r="S77" s="12" t="str">
        <f t="shared" ca="1" si="16"/>
        <v xml:space="preserve"> L</v>
      </c>
      <c r="T77" s="12" t="str">
        <f t="shared" ca="1" si="16"/>
        <v xml:space="preserve"> L</v>
      </c>
      <c r="U77" s="12" t="str">
        <f t="shared" ca="1" si="16"/>
        <v xml:space="preserve"> L</v>
      </c>
      <c r="V77" s="12" t="str">
        <f t="shared" ca="1" si="16"/>
        <v>❌</v>
      </c>
      <c r="W77" s="12" t="str">
        <f t="shared" ca="1" si="16"/>
        <v>✔</v>
      </c>
      <c r="X77" s="12" t="str">
        <f t="shared" ca="1" si="16"/>
        <v>❌</v>
      </c>
      <c r="Y77" s="12" t="str">
        <f t="shared" ca="1" si="16"/>
        <v xml:space="preserve"> L</v>
      </c>
      <c r="Z77" s="12" t="str">
        <f t="shared" ca="1" si="16"/>
        <v>✔</v>
      </c>
      <c r="AA77" s="12" t="str">
        <f t="shared" ca="1" si="16"/>
        <v>✔</v>
      </c>
      <c r="AB77" s="12" t="str">
        <f t="shared" ca="1" si="16"/>
        <v>❌</v>
      </c>
      <c r="AC77" s="12" t="str">
        <f t="shared" ca="1" si="16"/>
        <v xml:space="preserve"> L</v>
      </c>
      <c r="AD77" s="12" t="str">
        <f t="shared" ca="1" si="16"/>
        <v xml:space="preserve"> L</v>
      </c>
      <c r="AE77" s="12" t="str">
        <f t="shared" ca="1" si="16"/>
        <v>❌</v>
      </c>
      <c r="AF77" s="12" t="str">
        <f t="shared" ca="1" si="16"/>
        <v xml:space="preserve"> L</v>
      </c>
      <c r="AG77" s="12" t="str">
        <f t="shared" ca="1" si="16"/>
        <v>✔</v>
      </c>
      <c r="AH77" s="9">
        <f t="shared" ca="1" si="13"/>
        <v>8</v>
      </c>
      <c r="AI77" s="9">
        <f t="shared" ca="1" si="14"/>
        <v>11</v>
      </c>
      <c r="AJ77" s="9">
        <f t="shared" ca="1" si="15"/>
        <v>12</v>
      </c>
    </row>
    <row r="78" spans="1:36">
      <c r="A78" s="9" t="s">
        <v>318</v>
      </c>
      <c r="B78" s="9" t="str">
        <f>VLOOKUP(A78, Master_Roster!A$2:B$102, 2, FALSE)</f>
        <v>Dominic Barnes</v>
      </c>
      <c r="C78" s="12" t="str">
        <f t="shared" ca="1" si="12"/>
        <v>❌</v>
      </c>
      <c r="D78" s="12" t="str">
        <f t="shared" ca="1" si="16"/>
        <v>✔</v>
      </c>
      <c r="E78" s="12" t="str">
        <f t="shared" ca="1" si="16"/>
        <v xml:space="preserve"> L</v>
      </c>
      <c r="F78" s="12" t="str">
        <f t="shared" ca="1" si="16"/>
        <v xml:space="preserve"> L</v>
      </c>
      <c r="G78" s="12" t="str">
        <f t="shared" ca="1" si="16"/>
        <v>✔</v>
      </c>
      <c r="H78" s="12" t="str">
        <f t="shared" ca="1" si="16"/>
        <v xml:space="preserve"> L</v>
      </c>
      <c r="I78" s="12" t="str">
        <f t="shared" ca="1" si="16"/>
        <v>❌</v>
      </c>
      <c r="J78" s="12" t="str">
        <f t="shared" ca="1" si="16"/>
        <v xml:space="preserve"> L</v>
      </c>
      <c r="K78" s="12" t="str">
        <f t="shared" ca="1" si="16"/>
        <v>❌</v>
      </c>
      <c r="L78" s="12" t="str">
        <f t="shared" ca="1" si="16"/>
        <v xml:space="preserve"> L</v>
      </c>
      <c r="M78" s="12" t="str">
        <f t="shared" ca="1" si="16"/>
        <v xml:space="preserve"> L</v>
      </c>
      <c r="N78" s="12" t="str">
        <f t="shared" ca="1" si="16"/>
        <v>❌</v>
      </c>
      <c r="O78" s="12" t="str">
        <f t="shared" ca="1" si="16"/>
        <v>✔</v>
      </c>
      <c r="P78" s="12" t="str">
        <f t="shared" ca="1" si="16"/>
        <v xml:space="preserve"> L</v>
      </c>
      <c r="Q78" s="12" t="str">
        <f t="shared" ca="1" si="16"/>
        <v>✔</v>
      </c>
      <c r="R78" s="12" t="str">
        <f t="shared" ca="1" si="16"/>
        <v>✔</v>
      </c>
      <c r="S78" s="12" t="str">
        <f t="shared" ca="1" si="16"/>
        <v xml:space="preserve"> L</v>
      </c>
      <c r="T78" s="12" t="str">
        <f t="shared" ca="1" si="16"/>
        <v>❌</v>
      </c>
      <c r="U78" s="12" t="str">
        <f t="shared" ca="1" si="16"/>
        <v>❌</v>
      </c>
      <c r="V78" s="12" t="str">
        <f t="shared" ca="1" si="16"/>
        <v xml:space="preserve"> L</v>
      </c>
      <c r="W78" s="12" t="str">
        <f t="shared" ca="1" si="16"/>
        <v>✔</v>
      </c>
      <c r="X78" s="12" t="str">
        <f t="shared" ca="1" si="16"/>
        <v>✔</v>
      </c>
      <c r="Y78" s="12" t="str">
        <f t="shared" ca="1" si="16"/>
        <v xml:space="preserve"> L</v>
      </c>
      <c r="Z78" s="12" t="str">
        <f t="shared" ca="1" si="16"/>
        <v>❌</v>
      </c>
      <c r="AA78" s="12" t="str">
        <f t="shared" ca="1" si="16"/>
        <v>❌</v>
      </c>
      <c r="AB78" s="12" t="str">
        <f t="shared" ca="1" si="16"/>
        <v>✔</v>
      </c>
      <c r="AC78" s="12" t="str">
        <f t="shared" ca="1" si="16"/>
        <v>❌</v>
      </c>
      <c r="AD78" s="12" t="str">
        <f t="shared" ca="1" si="16"/>
        <v>❌</v>
      </c>
      <c r="AE78" s="12" t="str">
        <f t="shared" ca="1" si="16"/>
        <v>✔</v>
      </c>
      <c r="AF78" s="12" t="str">
        <f t="shared" ca="1" si="16"/>
        <v>✔</v>
      </c>
      <c r="AG78" s="12" t="str">
        <f t="shared" ca="1" si="16"/>
        <v>❌</v>
      </c>
      <c r="AH78" s="9">
        <f t="shared" ca="1" si="13"/>
        <v>10</v>
      </c>
      <c r="AI78" s="9">
        <f t="shared" ca="1" si="14"/>
        <v>11</v>
      </c>
      <c r="AJ78" s="9">
        <f t="shared" ca="1" si="15"/>
        <v>10</v>
      </c>
    </row>
    <row r="79" spans="1:36">
      <c r="A79" s="9" t="s">
        <v>322</v>
      </c>
      <c r="B79" s="9" t="str">
        <f>VLOOKUP(A79, Master_Roster!A$2:B$102, 2, FALSE)</f>
        <v>Madelyn Ross</v>
      </c>
      <c r="C79" s="12" t="str">
        <f t="shared" ca="1" si="12"/>
        <v>✔</v>
      </c>
      <c r="D79" s="12" t="str">
        <f t="shared" ca="1" si="16"/>
        <v>❌</v>
      </c>
      <c r="E79" s="12" t="str">
        <f t="shared" ca="1" si="16"/>
        <v xml:space="preserve"> L</v>
      </c>
      <c r="F79" s="12" t="str">
        <f t="shared" ca="1" si="16"/>
        <v xml:space="preserve"> L</v>
      </c>
      <c r="G79" s="12" t="str">
        <f t="shared" ca="1" si="16"/>
        <v>✔</v>
      </c>
      <c r="H79" s="12" t="str">
        <f t="shared" ca="1" si="16"/>
        <v>❌</v>
      </c>
      <c r="I79" s="12" t="str">
        <f t="shared" ca="1" si="16"/>
        <v xml:space="preserve"> L</v>
      </c>
      <c r="J79" s="12" t="str">
        <f t="shared" ca="1" si="16"/>
        <v>❌</v>
      </c>
      <c r="K79" s="12" t="str">
        <f t="shared" ca="1" si="16"/>
        <v xml:space="preserve"> L</v>
      </c>
      <c r="L79" s="12" t="str">
        <f t="shared" ca="1" si="16"/>
        <v xml:space="preserve"> L</v>
      </c>
      <c r="M79" s="12" t="str">
        <f t="shared" ca="1" si="16"/>
        <v xml:space="preserve"> L</v>
      </c>
      <c r="N79" s="12" t="str">
        <f t="shared" ca="1" si="16"/>
        <v xml:space="preserve"> L</v>
      </c>
      <c r="O79" s="12" t="str">
        <f t="shared" ca="1" si="16"/>
        <v xml:space="preserve"> L</v>
      </c>
      <c r="P79" s="12" t="str">
        <f t="shared" ca="1" si="16"/>
        <v>✔</v>
      </c>
      <c r="Q79" s="12" t="str">
        <f t="shared" ca="1" si="16"/>
        <v xml:space="preserve"> L</v>
      </c>
      <c r="R79" s="12" t="str">
        <f t="shared" ca="1" si="16"/>
        <v>❌</v>
      </c>
      <c r="S79" s="12" t="str">
        <f t="shared" ca="1" si="16"/>
        <v>❌</v>
      </c>
      <c r="T79" s="12" t="str">
        <f t="shared" ca="1" si="16"/>
        <v>❌</v>
      </c>
      <c r="U79" s="12" t="str">
        <f t="shared" ca="1" si="16"/>
        <v xml:space="preserve"> L</v>
      </c>
      <c r="V79" s="12" t="str">
        <f t="shared" ca="1" si="16"/>
        <v>✔</v>
      </c>
      <c r="W79" s="12" t="str">
        <f t="shared" ca="1" si="16"/>
        <v xml:space="preserve"> L</v>
      </c>
      <c r="X79" s="12" t="str">
        <f t="shared" ca="1" si="16"/>
        <v xml:space="preserve"> L</v>
      </c>
      <c r="Y79" s="12" t="str">
        <f t="shared" ca="1" si="16"/>
        <v>❌</v>
      </c>
      <c r="Z79" s="12" t="str">
        <f t="shared" ca="1" si="16"/>
        <v xml:space="preserve"> L</v>
      </c>
      <c r="AA79" s="12" t="str">
        <f t="shared" ca="1" si="16"/>
        <v xml:space="preserve"> L</v>
      </c>
      <c r="AB79" s="12" t="str">
        <f t="shared" ca="1" si="16"/>
        <v>❌</v>
      </c>
      <c r="AC79" s="12" t="str">
        <f t="shared" ca="1" si="16"/>
        <v>❌</v>
      </c>
      <c r="AD79" s="12" t="str">
        <f t="shared" ca="1" si="16"/>
        <v>✔</v>
      </c>
      <c r="AE79" s="12" t="str">
        <f t="shared" ca="1" si="16"/>
        <v>❌</v>
      </c>
      <c r="AF79" s="12" t="str">
        <f t="shared" ca="1" si="16"/>
        <v xml:space="preserve"> L</v>
      </c>
      <c r="AG79" s="12" t="str">
        <f t="shared" ca="1" si="16"/>
        <v>❌</v>
      </c>
      <c r="AH79" s="9">
        <f t="shared" ca="1" si="13"/>
        <v>5</v>
      </c>
      <c r="AI79" s="9">
        <f t="shared" ca="1" si="14"/>
        <v>11</v>
      </c>
      <c r="AJ79" s="9">
        <f t="shared" ca="1" si="15"/>
        <v>15</v>
      </c>
    </row>
    <row r="80" spans="1:36">
      <c r="A80" s="9" t="s">
        <v>326</v>
      </c>
      <c r="B80" s="9" t="str">
        <f>VLOOKUP(A80, Master_Roster!A$2:B$102, 2, FALSE)</f>
        <v>Lincoln Henderson</v>
      </c>
      <c r="C80" s="12" t="str">
        <f t="shared" ca="1" si="12"/>
        <v>✔</v>
      </c>
      <c r="D80" s="12" t="str">
        <f t="shared" ca="1" si="16"/>
        <v>❌</v>
      </c>
      <c r="E80" s="12" t="str">
        <f t="shared" ca="1" si="16"/>
        <v>✔</v>
      </c>
      <c r="F80" s="12" t="str">
        <f t="shared" ca="1" si="16"/>
        <v>✔</v>
      </c>
      <c r="G80" s="12" t="str">
        <f t="shared" ca="1" si="16"/>
        <v>❌</v>
      </c>
      <c r="H80" s="12" t="str">
        <f t="shared" ca="1" si="16"/>
        <v xml:space="preserve"> L</v>
      </c>
      <c r="I80" s="12" t="str">
        <f t="shared" ca="1" si="16"/>
        <v xml:space="preserve"> L</v>
      </c>
      <c r="J80" s="12" t="str">
        <f t="shared" ca="1" si="16"/>
        <v>❌</v>
      </c>
      <c r="K80" s="12" t="str">
        <f t="shared" ca="1" si="16"/>
        <v xml:space="preserve"> L</v>
      </c>
      <c r="L80" s="12" t="str">
        <f t="shared" ca="1" si="16"/>
        <v>❌</v>
      </c>
      <c r="M80" s="12" t="str">
        <f t="shared" ca="1" si="16"/>
        <v>❌</v>
      </c>
      <c r="N80" s="12" t="str">
        <f t="shared" ca="1" si="16"/>
        <v>❌</v>
      </c>
      <c r="O80" s="12" t="str">
        <f t="shared" ca="1" si="16"/>
        <v>❌</v>
      </c>
      <c r="P80" s="12" t="str">
        <f t="shared" ca="1" si="16"/>
        <v xml:space="preserve"> L</v>
      </c>
      <c r="Q80" s="12" t="str">
        <f t="shared" ca="1" si="16"/>
        <v>❌</v>
      </c>
      <c r="R80" s="12" t="str">
        <f t="shared" ca="1" si="16"/>
        <v xml:space="preserve"> L</v>
      </c>
      <c r="S80" s="12" t="str">
        <f t="shared" ca="1" si="16"/>
        <v>✔</v>
      </c>
      <c r="T80" s="12" t="str">
        <f t="shared" ca="1" si="16"/>
        <v xml:space="preserve"> L</v>
      </c>
      <c r="U80" s="12" t="str">
        <f t="shared" ca="1" si="16"/>
        <v>✔</v>
      </c>
      <c r="V80" s="12" t="str">
        <f t="shared" ca="1" si="16"/>
        <v xml:space="preserve"> L</v>
      </c>
      <c r="W80" s="12" t="str">
        <f t="shared" ca="1" si="16"/>
        <v xml:space="preserve"> L</v>
      </c>
      <c r="X80" s="12" t="str">
        <f t="shared" ca="1" si="16"/>
        <v xml:space="preserve"> L</v>
      </c>
      <c r="Y80" s="12" t="str">
        <f t="shared" ca="1" si="16"/>
        <v xml:space="preserve"> L</v>
      </c>
      <c r="Z80" s="12" t="str">
        <f t="shared" ca="1" si="16"/>
        <v>✔</v>
      </c>
      <c r="AA80" s="12" t="str">
        <f t="shared" ca="1" si="16"/>
        <v>✔</v>
      </c>
      <c r="AB80" s="12" t="str">
        <f t="shared" ca="1" si="16"/>
        <v>✔</v>
      </c>
      <c r="AC80" s="12" t="str">
        <f t="shared" ca="1" si="16"/>
        <v>✔</v>
      </c>
      <c r="AD80" s="12" t="str">
        <f t="shared" ca="1" si="16"/>
        <v>❌</v>
      </c>
      <c r="AE80" s="12" t="str">
        <f t="shared" ca="1" si="16"/>
        <v>✔</v>
      </c>
      <c r="AF80" s="12" t="str">
        <f t="shared" ca="1" si="16"/>
        <v>❌</v>
      </c>
      <c r="AG80" s="12" t="str">
        <f t="shared" ca="1" si="16"/>
        <v>✔</v>
      </c>
      <c r="AH80" s="9">
        <f t="shared" ca="1" si="13"/>
        <v>11</v>
      </c>
      <c r="AI80" s="9">
        <f t="shared" ca="1" si="14"/>
        <v>10</v>
      </c>
      <c r="AJ80" s="9">
        <f t="shared" ca="1" si="15"/>
        <v>10</v>
      </c>
    </row>
    <row r="81" spans="1:36">
      <c r="A81" s="9" t="s">
        <v>330</v>
      </c>
      <c r="B81" s="9" t="str">
        <f>VLOOKUP(A81, Master_Roster!A$2:B$102, 2, FALSE)</f>
        <v>Sarah Coleman</v>
      </c>
      <c r="C81" s="12" t="str">
        <f t="shared" ca="1" si="12"/>
        <v>❌</v>
      </c>
      <c r="D81" s="12" t="str">
        <f t="shared" ca="1" si="16"/>
        <v xml:space="preserve"> L</v>
      </c>
      <c r="E81" s="12" t="str">
        <f t="shared" ca="1" si="16"/>
        <v>✔</v>
      </c>
      <c r="F81" s="12" t="str">
        <f t="shared" ca="1" si="16"/>
        <v>❌</v>
      </c>
      <c r="G81" s="12" t="str">
        <f t="shared" ca="1" si="16"/>
        <v>❌</v>
      </c>
      <c r="H81" s="12" t="str">
        <f t="shared" ca="1" si="16"/>
        <v xml:space="preserve"> L</v>
      </c>
      <c r="I81" s="12" t="str">
        <f t="shared" ca="1" si="16"/>
        <v>✔</v>
      </c>
      <c r="J81" s="12" t="str">
        <f t="shared" ca="1" si="16"/>
        <v xml:space="preserve"> L</v>
      </c>
      <c r="K81" s="12" t="str">
        <f t="shared" ca="1" si="16"/>
        <v xml:space="preserve"> L</v>
      </c>
      <c r="L81" s="12" t="str">
        <f t="shared" ca="1" si="16"/>
        <v>❌</v>
      </c>
      <c r="M81" s="12" t="str">
        <f t="shared" ca="1" si="16"/>
        <v xml:space="preserve"> L</v>
      </c>
      <c r="N81" s="12" t="str">
        <f t="shared" ca="1" si="16"/>
        <v>❌</v>
      </c>
      <c r="O81" s="12" t="str">
        <f t="shared" ca="1" si="16"/>
        <v>❌</v>
      </c>
      <c r="P81" s="12" t="str">
        <f t="shared" ca="1" si="16"/>
        <v>✔</v>
      </c>
      <c r="Q81" s="12" t="str">
        <f t="shared" ca="1" si="16"/>
        <v xml:space="preserve"> L</v>
      </c>
      <c r="R81" s="12" t="str">
        <f t="shared" ca="1" si="16"/>
        <v xml:space="preserve"> L</v>
      </c>
      <c r="S81" s="12" t="str">
        <f t="shared" ref="D81:AG89" ca="1" si="17">CHOOSE(RANDBETWEEN(1, 3), "✔", " L", "❌")</f>
        <v xml:space="preserve"> L</v>
      </c>
      <c r="T81" s="12" t="str">
        <f t="shared" ca="1" si="17"/>
        <v xml:space="preserve"> L</v>
      </c>
      <c r="U81" s="12" t="str">
        <f t="shared" ca="1" si="17"/>
        <v>✔</v>
      </c>
      <c r="V81" s="12" t="str">
        <f t="shared" ca="1" si="17"/>
        <v>❌</v>
      </c>
      <c r="W81" s="12" t="str">
        <f t="shared" ca="1" si="17"/>
        <v xml:space="preserve"> L</v>
      </c>
      <c r="X81" s="12" t="str">
        <f t="shared" ca="1" si="17"/>
        <v>✔</v>
      </c>
      <c r="Y81" s="12" t="str">
        <f t="shared" ca="1" si="17"/>
        <v>❌</v>
      </c>
      <c r="Z81" s="12" t="str">
        <f t="shared" ca="1" si="17"/>
        <v>❌</v>
      </c>
      <c r="AA81" s="12" t="str">
        <f t="shared" ca="1" si="17"/>
        <v xml:space="preserve"> L</v>
      </c>
      <c r="AB81" s="12" t="str">
        <f t="shared" ca="1" si="17"/>
        <v>❌</v>
      </c>
      <c r="AC81" s="12" t="str">
        <f t="shared" ca="1" si="17"/>
        <v xml:space="preserve"> L</v>
      </c>
      <c r="AD81" s="12" t="str">
        <f t="shared" ca="1" si="17"/>
        <v>❌</v>
      </c>
      <c r="AE81" s="12" t="str">
        <f t="shared" ca="1" si="17"/>
        <v xml:space="preserve"> L</v>
      </c>
      <c r="AF81" s="12" t="str">
        <f t="shared" ca="1" si="17"/>
        <v xml:space="preserve"> L</v>
      </c>
      <c r="AG81" s="12" t="str">
        <f t="shared" ca="1" si="17"/>
        <v xml:space="preserve"> L</v>
      </c>
      <c r="AH81" s="9">
        <f t="shared" ca="1" si="13"/>
        <v>5</v>
      </c>
      <c r="AI81" s="9">
        <f t="shared" ca="1" si="14"/>
        <v>11</v>
      </c>
      <c r="AJ81" s="9">
        <f t="shared" ca="1" si="15"/>
        <v>15</v>
      </c>
    </row>
    <row r="82" spans="1:36">
      <c r="A82" s="9" t="s">
        <v>334</v>
      </c>
      <c r="B82" s="9" t="str">
        <f>VLOOKUP(A82, Master_Roster!A$2:B$102, 2, FALSE)</f>
        <v>Landon Jenkins</v>
      </c>
      <c r="C82" s="12" t="str">
        <f t="shared" ca="1" si="12"/>
        <v xml:space="preserve"> L</v>
      </c>
      <c r="D82" s="12" t="str">
        <f t="shared" ca="1" si="17"/>
        <v>❌</v>
      </c>
      <c r="E82" s="12" t="str">
        <f t="shared" ca="1" si="17"/>
        <v>✔</v>
      </c>
      <c r="F82" s="12" t="str">
        <f t="shared" ca="1" si="17"/>
        <v xml:space="preserve"> L</v>
      </c>
      <c r="G82" s="12" t="str">
        <f t="shared" ca="1" si="17"/>
        <v>✔</v>
      </c>
      <c r="H82" s="12" t="str">
        <f t="shared" ca="1" si="17"/>
        <v xml:space="preserve"> L</v>
      </c>
      <c r="I82" s="12" t="str">
        <f t="shared" ca="1" si="17"/>
        <v>❌</v>
      </c>
      <c r="J82" s="12" t="str">
        <f t="shared" ca="1" si="17"/>
        <v>❌</v>
      </c>
      <c r="K82" s="12" t="str">
        <f t="shared" ca="1" si="17"/>
        <v xml:space="preserve"> L</v>
      </c>
      <c r="L82" s="12" t="str">
        <f t="shared" ca="1" si="17"/>
        <v xml:space="preserve"> L</v>
      </c>
      <c r="M82" s="12" t="str">
        <f t="shared" ca="1" si="17"/>
        <v>❌</v>
      </c>
      <c r="N82" s="12" t="str">
        <f t="shared" ca="1" si="17"/>
        <v xml:space="preserve"> L</v>
      </c>
      <c r="O82" s="12" t="str">
        <f t="shared" ca="1" si="17"/>
        <v>❌</v>
      </c>
      <c r="P82" s="12" t="str">
        <f t="shared" ca="1" si="17"/>
        <v>❌</v>
      </c>
      <c r="Q82" s="12" t="str">
        <f t="shared" ca="1" si="17"/>
        <v>✔</v>
      </c>
      <c r="R82" s="12" t="str">
        <f t="shared" ca="1" si="17"/>
        <v>❌</v>
      </c>
      <c r="S82" s="12" t="str">
        <f t="shared" ca="1" si="17"/>
        <v>✔</v>
      </c>
      <c r="T82" s="12" t="str">
        <f t="shared" ca="1" si="17"/>
        <v>❌</v>
      </c>
      <c r="U82" s="12" t="str">
        <f t="shared" ca="1" si="17"/>
        <v>❌</v>
      </c>
      <c r="V82" s="12" t="str">
        <f t="shared" ca="1" si="17"/>
        <v>❌</v>
      </c>
      <c r="W82" s="12" t="str">
        <f t="shared" ca="1" si="17"/>
        <v>❌</v>
      </c>
      <c r="X82" s="12" t="str">
        <f t="shared" ca="1" si="17"/>
        <v>❌</v>
      </c>
      <c r="Y82" s="12" t="str">
        <f t="shared" ca="1" si="17"/>
        <v>❌</v>
      </c>
      <c r="Z82" s="12" t="str">
        <f t="shared" ca="1" si="17"/>
        <v>❌</v>
      </c>
      <c r="AA82" s="12" t="str">
        <f t="shared" ca="1" si="17"/>
        <v xml:space="preserve"> L</v>
      </c>
      <c r="AB82" s="12" t="str">
        <f t="shared" ca="1" si="17"/>
        <v xml:space="preserve"> L</v>
      </c>
      <c r="AC82" s="12" t="str">
        <f t="shared" ca="1" si="17"/>
        <v>✔</v>
      </c>
      <c r="AD82" s="12" t="str">
        <f t="shared" ca="1" si="17"/>
        <v>❌</v>
      </c>
      <c r="AE82" s="12" t="str">
        <f t="shared" ca="1" si="17"/>
        <v>❌</v>
      </c>
      <c r="AF82" s="12" t="str">
        <f t="shared" ca="1" si="17"/>
        <v>❌</v>
      </c>
      <c r="AG82" s="12" t="str">
        <f t="shared" ca="1" si="17"/>
        <v>❌</v>
      </c>
      <c r="AH82" s="9">
        <f t="shared" ca="1" si="13"/>
        <v>5</v>
      </c>
      <c r="AI82" s="9">
        <f t="shared" ca="1" si="14"/>
        <v>18</v>
      </c>
      <c r="AJ82" s="9">
        <f t="shared" ca="1" si="15"/>
        <v>8</v>
      </c>
    </row>
    <row r="83" spans="1:36">
      <c r="A83" s="9" t="s">
        <v>338</v>
      </c>
      <c r="B83" s="9" t="str">
        <f>VLOOKUP(A83, Master_Roster!A$2:B$102, 2, FALSE)</f>
        <v>Kinsley Perry</v>
      </c>
      <c r="C83" s="12" t="str">
        <f t="shared" ca="1" si="12"/>
        <v xml:space="preserve"> L</v>
      </c>
      <c r="D83" s="12" t="str">
        <f t="shared" ca="1" si="17"/>
        <v xml:space="preserve"> L</v>
      </c>
      <c r="E83" s="12" t="str">
        <f t="shared" ca="1" si="17"/>
        <v>❌</v>
      </c>
      <c r="F83" s="12" t="str">
        <f t="shared" ca="1" si="17"/>
        <v>❌</v>
      </c>
      <c r="G83" s="12" t="str">
        <f t="shared" ca="1" si="17"/>
        <v>❌</v>
      </c>
      <c r="H83" s="12" t="str">
        <f t="shared" ca="1" si="17"/>
        <v>✔</v>
      </c>
      <c r="I83" s="12" t="str">
        <f t="shared" ca="1" si="17"/>
        <v xml:space="preserve"> L</v>
      </c>
      <c r="J83" s="12" t="str">
        <f t="shared" ca="1" si="17"/>
        <v xml:space="preserve"> L</v>
      </c>
      <c r="K83" s="12" t="str">
        <f t="shared" ca="1" si="17"/>
        <v xml:space="preserve"> L</v>
      </c>
      <c r="L83" s="12" t="str">
        <f t="shared" ca="1" si="17"/>
        <v xml:space="preserve"> L</v>
      </c>
      <c r="M83" s="12" t="str">
        <f t="shared" ca="1" si="17"/>
        <v>✔</v>
      </c>
      <c r="N83" s="12" t="str">
        <f t="shared" ca="1" si="17"/>
        <v>❌</v>
      </c>
      <c r="O83" s="12" t="str">
        <f t="shared" ca="1" si="17"/>
        <v>❌</v>
      </c>
      <c r="P83" s="12" t="str">
        <f t="shared" ca="1" si="17"/>
        <v>✔</v>
      </c>
      <c r="Q83" s="12" t="str">
        <f t="shared" ca="1" si="17"/>
        <v xml:space="preserve"> L</v>
      </c>
      <c r="R83" s="12" t="str">
        <f t="shared" ca="1" si="17"/>
        <v>❌</v>
      </c>
      <c r="S83" s="12" t="str">
        <f t="shared" ca="1" si="17"/>
        <v>✔</v>
      </c>
      <c r="T83" s="12" t="str">
        <f t="shared" ca="1" si="17"/>
        <v>❌</v>
      </c>
      <c r="U83" s="12" t="str">
        <f t="shared" ca="1" si="17"/>
        <v>✔</v>
      </c>
      <c r="V83" s="12" t="str">
        <f t="shared" ca="1" si="17"/>
        <v>✔</v>
      </c>
      <c r="W83" s="12" t="str">
        <f t="shared" ca="1" si="17"/>
        <v>❌</v>
      </c>
      <c r="X83" s="12" t="str">
        <f t="shared" ca="1" si="17"/>
        <v xml:space="preserve"> L</v>
      </c>
      <c r="Y83" s="12" t="str">
        <f t="shared" ca="1" si="17"/>
        <v>❌</v>
      </c>
      <c r="Z83" s="12" t="str">
        <f t="shared" ca="1" si="17"/>
        <v>✔</v>
      </c>
      <c r="AA83" s="12" t="str">
        <f t="shared" ca="1" si="17"/>
        <v xml:space="preserve"> L</v>
      </c>
      <c r="AB83" s="12" t="str">
        <f t="shared" ca="1" si="17"/>
        <v>❌</v>
      </c>
      <c r="AC83" s="12" t="str">
        <f t="shared" ca="1" si="17"/>
        <v xml:space="preserve"> L</v>
      </c>
      <c r="AD83" s="12" t="str">
        <f t="shared" ca="1" si="17"/>
        <v>✔</v>
      </c>
      <c r="AE83" s="12" t="str">
        <f t="shared" ca="1" si="17"/>
        <v>✔</v>
      </c>
      <c r="AF83" s="12" t="str">
        <f t="shared" ca="1" si="17"/>
        <v>✔</v>
      </c>
      <c r="AG83" s="12" t="str">
        <f t="shared" ca="1" si="17"/>
        <v>❌</v>
      </c>
      <c r="AH83" s="9">
        <f t="shared" ca="1" si="13"/>
        <v>10</v>
      </c>
      <c r="AI83" s="9">
        <f t="shared" ca="1" si="14"/>
        <v>11</v>
      </c>
      <c r="AJ83" s="9">
        <f t="shared" ca="1" si="15"/>
        <v>10</v>
      </c>
    </row>
    <row r="84" spans="1:36">
      <c r="A84" s="9" t="s">
        <v>342</v>
      </c>
      <c r="B84" s="9" t="str">
        <f>VLOOKUP(A84, Master_Roster!A$2:B$102, 2, FALSE)</f>
        <v>Aaron Powell</v>
      </c>
      <c r="C84" s="12" t="str">
        <f t="shared" ca="1" si="12"/>
        <v>✔</v>
      </c>
      <c r="D84" s="12" t="str">
        <f t="shared" ca="1" si="17"/>
        <v xml:space="preserve"> L</v>
      </c>
      <c r="E84" s="12" t="str">
        <f t="shared" ca="1" si="17"/>
        <v>❌</v>
      </c>
      <c r="F84" s="12" t="str">
        <f t="shared" ca="1" si="17"/>
        <v>✔</v>
      </c>
      <c r="G84" s="12" t="str">
        <f t="shared" ca="1" si="17"/>
        <v xml:space="preserve"> L</v>
      </c>
      <c r="H84" s="12" t="str">
        <f t="shared" ca="1" si="17"/>
        <v>❌</v>
      </c>
      <c r="I84" s="12" t="str">
        <f t="shared" ca="1" si="17"/>
        <v>✔</v>
      </c>
      <c r="J84" s="12" t="str">
        <f t="shared" ca="1" si="17"/>
        <v>✔</v>
      </c>
      <c r="K84" s="12" t="str">
        <f t="shared" ca="1" si="17"/>
        <v>❌</v>
      </c>
      <c r="L84" s="12" t="str">
        <f t="shared" ca="1" si="17"/>
        <v xml:space="preserve"> L</v>
      </c>
      <c r="M84" s="12" t="str">
        <f t="shared" ca="1" si="17"/>
        <v>❌</v>
      </c>
      <c r="N84" s="12" t="str">
        <f t="shared" ca="1" si="17"/>
        <v>✔</v>
      </c>
      <c r="O84" s="12" t="str">
        <f t="shared" ca="1" si="17"/>
        <v xml:space="preserve"> L</v>
      </c>
      <c r="P84" s="12" t="str">
        <f t="shared" ca="1" si="17"/>
        <v>❌</v>
      </c>
      <c r="Q84" s="12" t="str">
        <f t="shared" ca="1" si="17"/>
        <v>✔</v>
      </c>
      <c r="R84" s="12" t="str">
        <f t="shared" ca="1" si="17"/>
        <v>❌</v>
      </c>
      <c r="S84" s="12" t="str">
        <f t="shared" ca="1" si="17"/>
        <v xml:space="preserve"> L</v>
      </c>
      <c r="T84" s="12" t="str">
        <f t="shared" ca="1" si="17"/>
        <v xml:space="preserve"> L</v>
      </c>
      <c r="U84" s="12" t="str">
        <f t="shared" ca="1" si="17"/>
        <v xml:space="preserve"> L</v>
      </c>
      <c r="V84" s="12" t="str">
        <f t="shared" ca="1" si="17"/>
        <v>✔</v>
      </c>
      <c r="W84" s="12" t="str">
        <f t="shared" ca="1" si="17"/>
        <v>✔</v>
      </c>
      <c r="X84" s="12" t="str">
        <f t="shared" ca="1" si="17"/>
        <v xml:space="preserve"> L</v>
      </c>
      <c r="Y84" s="12" t="str">
        <f t="shared" ca="1" si="17"/>
        <v xml:space="preserve"> L</v>
      </c>
      <c r="Z84" s="12" t="str">
        <f t="shared" ca="1" si="17"/>
        <v>✔</v>
      </c>
      <c r="AA84" s="12" t="str">
        <f t="shared" ca="1" si="17"/>
        <v>❌</v>
      </c>
      <c r="AB84" s="12" t="str">
        <f t="shared" ca="1" si="17"/>
        <v>✔</v>
      </c>
      <c r="AC84" s="12" t="str">
        <f t="shared" ca="1" si="17"/>
        <v>✔</v>
      </c>
      <c r="AD84" s="12" t="str">
        <f t="shared" ca="1" si="17"/>
        <v>✔</v>
      </c>
      <c r="AE84" s="12" t="str">
        <f t="shared" ca="1" si="17"/>
        <v>❌</v>
      </c>
      <c r="AF84" s="12" t="str">
        <f t="shared" ca="1" si="17"/>
        <v>❌</v>
      </c>
      <c r="AG84" s="12" t="str">
        <f t="shared" ca="1" si="17"/>
        <v>❌</v>
      </c>
      <c r="AH84" s="9">
        <f t="shared" ca="1" si="13"/>
        <v>12</v>
      </c>
      <c r="AI84" s="9">
        <f t="shared" ca="1" si="14"/>
        <v>10</v>
      </c>
      <c r="AJ84" s="9">
        <f t="shared" ca="1" si="15"/>
        <v>9</v>
      </c>
    </row>
    <row r="85" spans="1:36">
      <c r="A85" s="9" t="s">
        <v>346</v>
      </c>
      <c r="B85" s="9" t="str">
        <f>VLOOKUP(A85, Master_Roster!A$2:B$102, 2, FALSE)</f>
        <v>Emilia Long</v>
      </c>
      <c r="C85" s="12" t="str">
        <f t="shared" ca="1" si="12"/>
        <v xml:space="preserve"> L</v>
      </c>
      <c r="D85" s="12" t="str">
        <f t="shared" ca="1" si="17"/>
        <v>✔</v>
      </c>
      <c r="E85" s="12" t="str">
        <f t="shared" ca="1" si="17"/>
        <v xml:space="preserve"> L</v>
      </c>
      <c r="F85" s="12" t="str">
        <f t="shared" ca="1" si="17"/>
        <v xml:space="preserve"> L</v>
      </c>
      <c r="G85" s="12" t="str">
        <f t="shared" ca="1" si="17"/>
        <v xml:space="preserve"> L</v>
      </c>
      <c r="H85" s="12" t="str">
        <f t="shared" ca="1" si="17"/>
        <v xml:space="preserve"> L</v>
      </c>
      <c r="I85" s="12" t="str">
        <f t="shared" ca="1" si="17"/>
        <v>❌</v>
      </c>
      <c r="J85" s="12" t="str">
        <f t="shared" ca="1" si="17"/>
        <v>❌</v>
      </c>
      <c r="K85" s="12" t="str">
        <f t="shared" ca="1" si="17"/>
        <v xml:space="preserve"> L</v>
      </c>
      <c r="L85" s="12" t="str">
        <f t="shared" ca="1" si="17"/>
        <v>❌</v>
      </c>
      <c r="M85" s="12" t="str">
        <f t="shared" ca="1" si="17"/>
        <v>✔</v>
      </c>
      <c r="N85" s="12" t="str">
        <f t="shared" ca="1" si="17"/>
        <v xml:space="preserve"> L</v>
      </c>
      <c r="O85" s="12" t="str">
        <f t="shared" ca="1" si="17"/>
        <v xml:space="preserve"> L</v>
      </c>
      <c r="P85" s="12" t="str">
        <f t="shared" ca="1" si="17"/>
        <v>✔</v>
      </c>
      <c r="Q85" s="12" t="str">
        <f t="shared" ca="1" si="17"/>
        <v xml:space="preserve"> L</v>
      </c>
      <c r="R85" s="12" t="str">
        <f t="shared" ca="1" si="17"/>
        <v xml:space="preserve"> L</v>
      </c>
      <c r="S85" s="12" t="str">
        <f t="shared" ca="1" si="17"/>
        <v>❌</v>
      </c>
      <c r="T85" s="12" t="str">
        <f t="shared" ca="1" si="17"/>
        <v>✔</v>
      </c>
      <c r="U85" s="12" t="str">
        <f t="shared" ca="1" si="17"/>
        <v>✔</v>
      </c>
      <c r="V85" s="12" t="str">
        <f t="shared" ca="1" si="17"/>
        <v>✔</v>
      </c>
      <c r="W85" s="12" t="str">
        <f t="shared" ca="1" si="17"/>
        <v>✔</v>
      </c>
      <c r="X85" s="12" t="str">
        <f t="shared" ca="1" si="17"/>
        <v>❌</v>
      </c>
      <c r="Y85" s="12" t="str">
        <f t="shared" ca="1" si="17"/>
        <v>❌</v>
      </c>
      <c r="Z85" s="12" t="str">
        <f t="shared" ca="1" si="17"/>
        <v>✔</v>
      </c>
      <c r="AA85" s="12" t="str">
        <f t="shared" ca="1" si="17"/>
        <v>❌</v>
      </c>
      <c r="AB85" s="12" t="str">
        <f t="shared" ca="1" si="17"/>
        <v xml:space="preserve"> L</v>
      </c>
      <c r="AC85" s="12" t="str">
        <f t="shared" ca="1" si="17"/>
        <v>❌</v>
      </c>
      <c r="AD85" s="12" t="str">
        <f t="shared" ca="1" si="17"/>
        <v>✔</v>
      </c>
      <c r="AE85" s="12" t="str">
        <f t="shared" ca="1" si="17"/>
        <v>✔</v>
      </c>
      <c r="AF85" s="12" t="str">
        <f t="shared" ca="1" si="17"/>
        <v xml:space="preserve"> L</v>
      </c>
      <c r="AG85" s="12" t="str">
        <f t="shared" ca="1" si="17"/>
        <v>❌</v>
      </c>
      <c r="AH85" s="9">
        <f t="shared" ca="1" si="13"/>
        <v>10</v>
      </c>
      <c r="AI85" s="9">
        <f t="shared" ca="1" si="14"/>
        <v>9</v>
      </c>
      <c r="AJ85" s="9">
        <f t="shared" ca="1" si="15"/>
        <v>12</v>
      </c>
    </row>
    <row r="86" spans="1:36">
      <c r="A86" s="9" t="s">
        <v>350</v>
      </c>
      <c r="B86" s="9" t="str">
        <f>VLOOKUP(A86, Master_Roster!A$2:B$102, 2, FALSE)</f>
        <v>Thomas Patterson</v>
      </c>
      <c r="C86" s="12" t="str">
        <f t="shared" ca="1" si="12"/>
        <v xml:space="preserve"> L</v>
      </c>
      <c r="D86" s="12" t="str">
        <f t="shared" ca="1" si="17"/>
        <v xml:space="preserve"> L</v>
      </c>
      <c r="E86" s="12" t="str">
        <f t="shared" ca="1" si="17"/>
        <v>❌</v>
      </c>
      <c r="F86" s="12" t="str">
        <f t="shared" ca="1" si="17"/>
        <v>✔</v>
      </c>
      <c r="G86" s="12" t="str">
        <f t="shared" ca="1" si="17"/>
        <v xml:space="preserve"> L</v>
      </c>
      <c r="H86" s="12" t="str">
        <f t="shared" ca="1" si="17"/>
        <v xml:space="preserve"> L</v>
      </c>
      <c r="I86" s="12" t="str">
        <f t="shared" ca="1" si="17"/>
        <v>✔</v>
      </c>
      <c r="J86" s="12" t="str">
        <f t="shared" ca="1" si="17"/>
        <v>✔</v>
      </c>
      <c r="K86" s="12" t="str">
        <f t="shared" ca="1" si="17"/>
        <v>✔</v>
      </c>
      <c r="L86" s="12" t="str">
        <f t="shared" ca="1" si="17"/>
        <v xml:space="preserve"> L</v>
      </c>
      <c r="M86" s="12" t="str">
        <f t="shared" ca="1" si="17"/>
        <v xml:space="preserve"> L</v>
      </c>
      <c r="N86" s="12" t="str">
        <f t="shared" ca="1" si="17"/>
        <v>✔</v>
      </c>
      <c r="O86" s="12" t="str">
        <f t="shared" ca="1" si="17"/>
        <v xml:space="preserve"> L</v>
      </c>
      <c r="P86" s="12" t="str">
        <f t="shared" ca="1" si="17"/>
        <v xml:space="preserve"> L</v>
      </c>
      <c r="Q86" s="12" t="str">
        <f t="shared" ca="1" si="17"/>
        <v xml:space="preserve"> L</v>
      </c>
      <c r="R86" s="12" t="str">
        <f t="shared" ca="1" si="17"/>
        <v xml:space="preserve"> L</v>
      </c>
      <c r="S86" s="12" t="str">
        <f t="shared" ca="1" si="17"/>
        <v xml:space="preserve"> L</v>
      </c>
      <c r="T86" s="12" t="str">
        <f t="shared" ca="1" si="17"/>
        <v>✔</v>
      </c>
      <c r="U86" s="12" t="str">
        <f t="shared" ca="1" si="17"/>
        <v>❌</v>
      </c>
      <c r="V86" s="12" t="str">
        <f t="shared" ca="1" si="17"/>
        <v>❌</v>
      </c>
      <c r="W86" s="12" t="str">
        <f t="shared" ca="1" si="17"/>
        <v>❌</v>
      </c>
      <c r="X86" s="12" t="str">
        <f t="shared" ca="1" si="17"/>
        <v>❌</v>
      </c>
      <c r="Y86" s="12" t="str">
        <f t="shared" ca="1" si="17"/>
        <v>❌</v>
      </c>
      <c r="Z86" s="12" t="str">
        <f t="shared" ca="1" si="17"/>
        <v>❌</v>
      </c>
      <c r="AA86" s="12" t="str">
        <f t="shared" ca="1" si="17"/>
        <v>✔</v>
      </c>
      <c r="AB86" s="12" t="str">
        <f t="shared" ca="1" si="17"/>
        <v>✔</v>
      </c>
      <c r="AC86" s="12" t="str">
        <f t="shared" ca="1" si="17"/>
        <v xml:space="preserve"> L</v>
      </c>
      <c r="AD86" s="12" t="str">
        <f t="shared" ca="1" si="17"/>
        <v>❌</v>
      </c>
      <c r="AE86" s="12" t="str">
        <f t="shared" ca="1" si="17"/>
        <v>✔</v>
      </c>
      <c r="AF86" s="12" t="str">
        <f t="shared" ca="1" si="17"/>
        <v>✔</v>
      </c>
      <c r="AG86" s="12" t="str">
        <f t="shared" ca="1" si="17"/>
        <v>✔</v>
      </c>
      <c r="AH86" s="9">
        <f t="shared" ca="1" si="13"/>
        <v>11</v>
      </c>
      <c r="AI86" s="9">
        <f t="shared" ca="1" si="14"/>
        <v>8</v>
      </c>
      <c r="AJ86" s="9">
        <f t="shared" ca="1" si="15"/>
        <v>12</v>
      </c>
    </row>
    <row r="87" spans="1:36">
      <c r="A87" s="9" t="s">
        <v>354</v>
      </c>
      <c r="B87" s="9" t="str">
        <f>VLOOKUP(A87, Master_Roster!A$2:B$102, 2, FALSE)</f>
        <v>Elena Hughes</v>
      </c>
      <c r="C87" s="12" t="str">
        <f t="shared" ca="1" si="12"/>
        <v>❌</v>
      </c>
      <c r="D87" s="12" t="str">
        <f t="shared" ca="1" si="17"/>
        <v>✔</v>
      </c>
      <c r="E87" s="12" t="str">
        <f t="shared" ca="1" si="17"/>
        <v>✔</v>
      </c>
      <c r="F87" s="12" t="str">
        <f t="shared" ca="1" si="17"/>
        <v xml:space="preserve"> L</v>
      </c>
      <c r="G87" s="12" t="str">
        <f t="shared" ca="1" si="17"/>
        <v>✔</v>
      </c>
      <c r="H87" s="12" t="str">
        <f t="shared" ca="1" si="17"/>
        <v xml:space="preserve"> L</v>
      </c>
      <c r="I87" s="12" t="str">
        <f t="shared" ca="1" si="17"/>
        <v>✔</v>
      </c>
      <c r="J87" s="12" t="str">
        <f t="shared" ca="1" si="17"/>
        <v>✔</v>
      </c>
      <c r="K87" s="12" t="str">
        <f t="shared" ca="1" si="17"/>
        <v xml:space="preserve"> L</v>
      </c>
      <c r="L87" s="12" t="str">
        <f t="shared" ca="1" si="17"/>
        <v xml:space="preserve"> L</v>
      </c>
      <c r="M87" s="12" t="str">
        <f t="shared" ca="1" si="17"/>
        <v>❌</v>
      </c>
      <c r="N87" s="12" t="str">
        <f t="shared" ca="1" si="17"/>
        <v>✔</v>
      </c>
      <c r="O87" s="12" t="str">
        <f t="shared" ca="1" si="17"/>
        <v xml:space="preserve"> L</v>
      </c>
      <c r="P87" s="12" t="str">
        <f t="shared" ca="1" si="17"/>
        <v>✔</v>
      </c>
      <c r="Q87" s="12" t="str">
        <f t="shared" ca="1" si="17"/>
        <v>✔</v>
      </c>
      <c r="R87" s="12" t="str">
        <f t="shared" ca="1" si="17"/>
        <v>✔</v>
      </c>
      <c r="S87" s="12" t="str">
        <f t="shared" ca="1" si="17"/>
        <v>✔</v>
      </c>
      <c r="T87" s="12" t="str">
        <f t="shared" ca="1" si="17"/>
        <v>❌</v>
      </c>
      <c r="U87" s="12" t="str">
        <f t="shared" ca="1" si="17"/>
        <v xml:space="preserve"> L</v>
      </c>
      <c r="V87" s="12" t="str">
        <f t="shared" ca="1" si="17"/>
        <v>✔</v>
      </c>
      <c r="W87" s="12" t="str">
        <f t="shared" ca="1" si="17"/>
        <v>✔</v>
      </c>
      <c r="X87" s="12" t="str">
        <f t="shared" ca="1" si="17"/>
        <v>❌</v>
      </c>
      <c r="Y87" s="12" t="str">
        <f t="shared" ca="1" si="17"/>
        <v>✔</v>
      </c>
      <c r="Z87" s="12" t="str">
        <f t="shared" ca="1" si="17"/>
        <v xml:space="preserve"> L</v>
      </c>
      <c r="AA87" s="12" t="str">
        <f t="shared" ca="1" si="17"/>
        <v>❌</v>
      </c>
      <c r="AB87" s="12" t="str">
        <f t="shared" ca="1" si="17"/>
        <v>✔</v>
      </c>
      <c r="AC87" s="12" t="str">
        <f t="shared" ca="1" si="17"/>
        <v>✔</v>
      </c>
      <c r="AD87" s="12" t="str">
        <f t="shared" ca="1" si="17"/>
        <v>❌</v>
      </c>
      <c r="AE87" s="12" t="str">
        <f t="shared" ca="1" si="17"/>
        <v>❌</v>
      </c>
      <c r="AF87" s="12" t="str">
        <f t="shared" ca="1" si="17"/>
        <v>❌</v>
      </c>
      <c r="AG87" s="12" t="str">
        <f t="shared" ca="1" si="17"/>
        <v>✔</v>
      </c>
      <c r="AH87" s="9">
        <f t="shared" ca="1" si="13"/>
        <v>16</v>
      </c>
      <c r="AI87" s="9">
        <f t="shared" ca="1" si="14"/>
        <v>8</v>
      </c>
      <c r="AJ87" s="9">
        <f t="shared" ca="1" si="15"/>
        <v>7</v>
      </c>
    </row>
    <row r="88" spans="1:36">
      <c r="A88" s="9" t="s">
        <v>358</v>
      </c>
      <c r="B88" s="9" t="str">
        <f>VLOOKUP(A88, Master_Roster!A$2:B$102, 2, FALSE)</f>
        <v>Charles Flores</v>
      </c>
      <c r="C88" s="12" t="str">
        <f t="shared" ca="1" si="12"/>
        <v xml:space="preserve"> L</v>
      </c>
      <c r="D88" s="12" t="str">
        <f t="shared" ca="1" si="17"/>
        <v>✔</v>
      </c>
      <c r="E88" s="12" t="str">
        <f t="shared" ca="1" si="17"/>
        <v>❌</v>
      </c>
      <c r="F88" s="12" t="str">
        <f t="shared" ca="1" si="17"/>
        <v>✔</v>
      </c>
      <c r="G88" s="12" t="str">
        <f t="shared" ca="1" si="17"/>
        <v>✔</v>
      </c>
      <c r="H88" s="12" t="str">
        <f t="shared" ca="1" si="17"/>
        <v>❌</v>
      </c>
      <c r="I88" s="12" t="str">
        <f t="shared" ca="1" si="17"/>
        <v xml:space="preserve"> L</v>
      </c>
      <c r="J88" s="12" t="str">
        <f t="shared" ca="1" si="17"/>
        <v xml:space="preserve"> L</v>
      </c>
      <c r="K88" s="12" t="str">
        <f t="shared" ca="1" si="17"/>
        <v>✔</v>
      </c>
      <c r="L88" s="12" t="str">
        <f t="shared" ca="1" si="17"/>
        <v>✔</v>
      </c>
      <c r="M88" s="12" t="str">
        <f t="shared" ca="1" si="17"/>
        <v xml:space="preserve"> L</v>
      </c>
      <c r="N88" s="12" t="str">
        <f t="shared" ca="1" si="17"/>
        <v>❌</v>
      </c>
      <c r="O88" s="12" t="str">
        <f t="shared" ca="1" si="17"/>
        <v xml:space="preserve"> L</v>
      </c>
      <c r="P88" s="12" t="str">
        <f t="shared" ca="1" si="17"/>
        <v>❌</v>
      </c>
      <c r="Q88" s="12" t="str">
        <f t="shared" ca="1" si="17"/>
        <v>❌</v>
      </c>
      <c r="R88" s="12" t="str">
        <f t="shared" ca="1" si="17"/>
        <v>❌</v>
      </c>
      <c r="S88" s="12" t="str">
        <f t="shared" ca="1" si="17"/>
        <v>✔</v>
      </c>
      <c r="T88" s="12" t="str">
        <f t="shared" ca="1" si="17"/>
        <v>❌</v>
      </c>
      <c r="U88" s="12" t="str">
        <f t="shared" ca="1" si="17"/>
        <v xml:space="preserve"> L</v>
      </c>
      <c r="V88" s="12" t="str">
        <f t="shared" ca="1" si="17"/>
        <v xml:space="preserve"> L</v>
      </c>
      <c r="W88" s="12" t="str">
        <f t="shared" ca="1" si="17"/>
        <v xml:space="preserve"> L</v>
      </c>
      <c r="X88" s="12" t="str">
        <f t="shared" ca="1" si="17"/>
        <v>✔</v>
      </c>
      <c r="Y88" s="12" t="str">
        <f t="shared" ca="1" si="17"/>
        <v>❌</v>
      </c>
      <c r="Z88" s="12" t="str">
        <f t="shared" ca="1" si="17"/>
        <v xml:space="preserve"> L</v>
      </c>
      <c r="AA88" s="12" t="str">
        <f t="shared" ca="1" si="17"/>
        <v>✔</v>
      </c>
      <c r="AB88" s="12" t="str">
        <f t="shared" ca="1" si="17"/>
        <v xml:space="preserve"> L</v>
      </c>
      <c r="AC88" s="12" t="str">
        <f t="shared" ca="1" si="17"/>
        <v>❌</v>
      </c>
      <c r="AD88" s="12" t="str">
        <f t="shared" ca="1" si="17"/>
        <v>✔</v>
      </c>
      <c r="AE88" s="12" t="str">
        <f t="shared" ca="1" si="17"/>
        <v xml:space="preserve"> L</v>
      </c>
      <c r="AF88" s="12" t="str">
        <f t="shared" ca="1" si="17"/>
        <v xml:space="preserve"> L</v>
      </c>
      <c r="AG88" s="12" t="str">
        <f t="shared" ca="1" si="17"/>
        <v xml:space="preserve"> L</v>
      </c>
      <c r="AH88" s="9">
        <f t="shared" ca="1" si="13"/>
        <v>9</v>
      </c>
      <c r="AI88" s="9">
        <f t="shared" ca="1" si="14"/>
        <v>9</v>
      </c>
      <c r="AJ88" s="9">
        <f t="shared" ca="1" si="15"/>
        <v>13</v>
      </c>
    </row>
    <row r="89" spans="1:36">
      <c r="A89" s="9" t="s">
        <v>362</v>
      </c>
      <c r="B89" s="9" t="str">
        <f>VLOOKUP(A89, Master_Roster!A$2:B$102, 2, FALSE)</f>
        <v>Lucy Washington</v>
      </c>
      <c r="C89" s="12" t="str">
        <f t="shared" ca="1" si="12"/>
        <v xml:space="preserve"> L</v>
      </c>
      <c r="D89" s="12" t="str">
        <f t="shared" ca="1" si="17"/>
        <v>❌</v>
      </c>
      <c r="E89" s="12" t="str">
        <f t="shared" ca="1" si="17"/>
        <v>❌</v>
      </c>
      <c r="F89" s="12" t="str">
        <f t="shared" ca="1" si="17"/>
        <v>❌</v>
      </c>
      <c r="G89" s="12" t="str">
        <f t="shared" ca="1" si="17"/>
        <v>✔</v>
      </c>
      <c r="H89" s="12" t="str">
        <f t="shared" ca="1" si="17"/>
        <v>❌</v>
      </c>
      <c r="I89" s="12" t="str">
        <f t="shared" ca="1" si="17"/>
        <v>❌</v>
      </c>
      <c r="J89" s="12" t="str">
        <f t="shared" ca="1" si="17"/>
        <v>✔</v>
      </c>
      <c r="K89" s="12" t="str">
        <f t="shared" ca="1" si="17"/>
        <v>❌</v>
      </c>
      <c r="L89" s="12" t="str">
        <f t="shared" ca="1" si="17"/>
        <v>✔</v>
      </c>
      <c r="M89" s="12" t="str">
        <f t="shared" ca="1" si="17"/>
        <v>❌</v>
      </c>
      <c r="N89" s="12" t="str">
        <f t="shared" ca="1" si="17"/>
        <v>❌</v>
      </c>
      <c r="O89" s="12" t="str">
        <f t="shared" ca="1" si="17"/>
        <v xml:space="preserve"> L</v>
      </c>
      <c r="P89" s="12" t="str">
        <f t="shared" ca="1" si="17"/>
        <v xml:space="preserve"> L</v>
      </c>
      <c r="Q89" s="12" t="str">
        <f t="shared" ca="1" si="17"/>
        <v>❌</v>
      </c>
      <c r="R89" s="12" t="str">
        <f t="shared" ca="1" si="17"/>
        <v>✔</v>
      </c>
      <c r="S89" s="12" t="str">
        <f t="shared" ca="1" si="17"/>
        <v>✔</v>
      </c>
      <c r="T89" s="12" t="str">
        <f t="shared" ca="1" si="17"/>
        <v xml:space="preserve"> L</v>
      </c>
      <c r="U89" s="12" t="str">
        <f t="shared" ca="1" si="17"/>
        <v>✔</v>
      </c>
      <c r="V89" s="12" t="str">
        <f t="shared" ca="1" si="17"/>
        <v xml:space="preserve"> L</v>
      </c>
      <c r="W89" s="12" t="str">
        <f t="shared" ca="1" si="17"/>
        <v>❌</v>
      </c>
      <c r="X89" s="12" t="str">
        <f t="shared" ca="1" si="17"/>
        <v xml:space="preserve"> L</v>
      </c>
      <c r="Y89" s="12" t="str">
        <f t="shared" ca="1" si="17"/>
        <v>❌</v>
      </c>
      <c r="Z89" s="12" t="str">
        <f t="shared" ca="1" si="17"/>
        <v>❌</v>
      </c>
      <c r="AA89" s="12" t="str">
        <f t="shared" ca="1" si="17"/>
        <v xml:space="preserve"> L</v>
      </c>
      <c r="AB89" s="12" t="str">
        <f t="shared" ca="1" si="17"/>
        <v>✔</v>
      </c>
      <c r="AC89" s="12" t="str">
        <f t="shared" ca="1" si="17"/>
        <v xml:space="preserve"> L</v>
      </c>
      <c r="AD89" s="12" t="str">
        <f t="shared" ca="1" si="17"/>
        <v>✔</v>
      </c>
      <c r="AE89" s="12" t="str">
        <f t="shared" ca="1" si="17"/>
        <v>❌</v>
      </c>
      <c r="AF89" s="12" t="str">
        <f t="shared" ca="1" si="17"/>
        <v>❌</v>
      </c>
      <c r="AG89" s="12" t="str">
        <f t="shared" ca="1" si="17"/>
        <v>✔</v>
      </c>
      <c r="AH89" s="9">
        <f t="shared" ca="1" si="13"/>
        <v>9</v>
      </c>
      <c r="AI89" s="9">
        <f t="shared" ca="1" si="14"/>
        <v>14</v>
      </c>
      <c r="AJ89" s="9">
        <f t="shared" ca="1" si="15"/>
        <v>8</v>
      </c>
    </row>
    <row r="90" spans="1:36">
      <c r="A90" s="9" t="s">
        <v>366</v>
      </c>
      <c r="B90" s="9" t="str">
        <f>VLOOKUP(A90, Master_Roster!A$2:B$102, 2, FALSE)</f>
        <v>Connor Butler</v>
      </c>
      <c r="C90" s="12" t="str">
        <f t="shared" ca="1" si="12"/>
        <v>❌</v>
      </c>
      <c r="D90" s="12" t="str">
        <f t="shared" ref="D90:AG98" ca="1" si="18">CHOOSE(RANDBETWEEN(1, 3), "✔", " L", "❌")</f>
        <v>✔</v>
      </c>
      <c r="E90" s="12" t="str">
        <f t="shared" ca="1" si="18"/>
        <v>❌</v>
      </c>
      <c r="F90" s="12" t="str">
        <f t="shared" ca="1" si="18"/>
        <v xml:space="preserve"> L</v>
      </c>
      <c r="G90" s="12" t="str">
        <f t="shared" ca="1" si="18"/>
        <v xml:space="preserve"> L</v>
      </c>
      <c r="H90" s="12" t="str">
        <f t="shared" ca="1" si="18"/>
        <v>✔</v>
      </c>
      <c r="I90" s="12" t="str">
        <f t="shared" ca="1" si="18"/>
        <v xml:space="preserve"> L</v>
      </c>
      <c r="J90" s="12" t="str">
        <f t="shared" ca="1" si="18"/>
        <v>❌</v>
      </c>
      <c r="K90" s="12" t="str">
        <f t="shared" ca="1" si="18"/>
        <v>❌</v>
      </c>
      <c r="L90" s="12" t="str">
        <f t="shared" ca="1" si="18"/>
        <v>❌</v>
      </c>
      <c r="M90" s="12" t="str">
        <f t="shared" ca="1" si="18"/>
        <v>✔</v>
      </c>
      <c r="N90" s="12" t="str">
        <f t="shared" ca="1" si="18"/>
        <v>✔</v>
      </c>
      <c r="O90" s="12" t="str">
        <f t="shared" ca="1" si="18"/>
        <v>✔</v>
      </c>
      <c r="P90" s="12" t="str">
        <f t="shared" ca="1" si="18"/>
        <v xml:space="preserve"> L</v>
      </c>
      <c r="Q90" s="12" t="str">
        <f t="shared" ca="1" si="18"/>
        <v xml:space="preserve"> L</v>
      </c>
      <c r="R90" s="12" t="str">
        <f t="shared" ca="1" si="18"/>
        <v xml:space="preserve"> L</v>
      </c>
      <c r="S90" s="12" t="str">
        <f t="shared" ca="1" si="18"/>
        <v>✔</v>
      </c>
      <c r="T90" s="12" t="str">
        <f t="shared" ca="1" si="18"/>
        <v>❌</v>
      </c>
      <c r="U90" s="12" t="str">
        <f t="shared" ca="1" si="18"/>
        <v>❌</v>
      </c>
      <c r="V90" s="12" t="str">
        <f t="shared" ca="1" si="18"/>
        <v>✔</v>
      </c>
      <c r="W90" s="12" t="str">
        <f t="shared" ca="1" si="18"/>
        <v xml:space="preserve"> L</v>
      </c>
      <c r="X90" s="12" t="str">
        <f t="shared" ca="1" si="18"/>
        <v xml:space="preserve"> L</v>
      </c>
      <c r="Y90" s="12" t="str">
        <f t="shared" ca="1" si="18"/>
        <v>✔</v>
      </c>
      <c r="Z90" s="12" t="str">
        <f t="shared" ca="1" si="18"/>
        <v>✔</v>
      </c>
      <c r="AA90" s="12" t="str">
        <f t="shared" ca="1" si="18"/>
        <v>✔</v>
      </c>
      <c r="AB90" s="12" t="str">
        <f t="shared" ca="1" si="18"/>
        <v>✔</v>
      </c>
      <c r="AC90" s="12" t="str">
        <f t="shared" ca="1" si="18"/>
        <v>✔</v>
      </c>
      <c r="AD90" s="12" t="str">
        <f t="shared" ca="1" si="18"/>
        <v xml:space="preserve"> L</v>
      </c>
      <c r="AE90" s="12" t="str">
        <f t="shared" ca="1" si="18"/>
        <v>❌</v>
      </c>
      <c r="AF90" s="12" t="str">
        <f t="shared" ca="1" si="18"/>
        <v>✔</v>
      </c>
      <c r="AG90" s="12" t="str">
        <f t="shared" ca="1" si="18"/>
        <v>✔</v>
      </c>
      <c r="AH90" s="9">
        <f t="shared" ca="1" si="13"/>
        <v>14</v>
      </c>
      <c r="AI90" s="9">
        <f t="shared" ca="1" si="14"/>
        <v>8</v>
      </c>
      <c r="AJ90" s="9">
        <f t="shared" ca="1" si="15"/>
        <v>9</v>
      </c>
    </row>
    <row r="91" spans="1:36">
      <c r="A91" s="9" t="s">
        <v>370</v>
      </c>
      <c r="B91" s="9" t="str">
        <f>VLOOKUP(A91, Master_Roster!A$2:B$102, 2, FALSE)</f>
        <v>Clara Simmons</v>
      </c>
      <c r="C91" s="12" t="str">
        <f t="shared" ca="1" si="12"/>
        <v>❌</v>
      </c>
      <c r="D91" s="12" t="str">
        <f t="shared" ca="1" si="18"/>
        <v xml:space="preserve"> L</v>
      </c>
      <c r="E91" s="12" t="str">
        <f t="shared" ca="1" si="18"/>
        <v xml:space="preserve"> L</v>
      </c>
      <c r="F91" s="12" t="str">
        <f t="shared" ca="1" si="18"/>
        <v>✔</v>
      </c>
      <c r="G91" s="12" t="str">
        <f t="shared" ca="1" si="18"/>
        <v xml:space="preserve"> L</v>
      </c>
      <c r="H91" s="12" t="str">
        <f t="shared" ca="1" si="18"/>
        <v>❌</v>
      </c>
      <c r="I91" s="12" t="str">
        <f t="shared" ca="1" si="18"/>
        <v>❌</v>
      </c>
      <c r="J91" s="12" t="str">
        <f t="shared" ca="1" si="18"/>
        <v xml:space="preserve"> L</v>
      </c>
      <c r="K91" s="12" t="str">
        <f t="shared" ca="1" si="18"/>
        <v>✔</v>
      </c>
      <c r="L91" s="12" t="str">
        <f t="shared" ca="1" si="18"/>
        <v>❌</v>
      </c>
      <c r="M91" s="12" t="str">
        <f t="shared" ca="1" si="18"/>
        <v>❌</v>
      </c>
      <c r="N91" s="12" t="str">
        <f t="shared" ca="1" si="18"/>
        <v xml:space="preserve"> L</v>
      </c>
      <c r="O91" s="12" t="str">
        <f t="shared" ca="1" si="18"/>
        <v xml:space="preserve"> L</v>
      </c>
      <c r="P91" s="12" t="str">
        <f t="shared" ca="1" si="18"/>
        <v xml:space="preserve"> L</v>
      </c>
      <c r="Q91" s="12" t="str">
        <f t="shared" ca="1" si="18"/>
        <v>✔</v>
      </c>
      <c r="R91" s="12" t="str">
        <f t="shared" ca="1" si="18"/>
        <v>✔</v>
      </c>
      <c r="S91" s="12" t="str">
        <f t="shared" ca="1" si="18"/>
        <v>❌</v>
      </c>
      <c r="T91" s="12" t="str">
        <f t="shared" ca="1" si="18"/>
        <v>❌</v>
      </c>
      <c r="U91" s="12" t="str">
        <f t="shared" ca="1" si="18"/>
        <v xml:space="preserve"> L</v>
      </c>
      <c r="V91" s="12" t="str">
        <f t="shared" ca="1" si="18"/>
        <v>✔</v>
      </c>
      <c r="W91" s="12" t="str">
        <f t="shared" ca="1" si="18"/>
        <v xml:space="preserve"> L</v>
      </c>
      <c r="X91" s="12" t="str">
        <f t="shared" ca="1" si="18"/>
        <v xml:space="preserve"> L</v>
      </c>
      <c r="Y91" s="12" t="str">
        <f t="shared" ca="1" si="18"/>
        <v>✔</v>
      </c>
      <c r="Z91" s="12" t="str">
        <f t="shared" ca="1" si="18"/>
        <v>❌</v>
      </c>
      <c r="AA91" s="12" t="str">
        <f t="shared" ca="1" si="18"/>
        <v xml:space="preserve"> L</v>
      </c>
      <c r="AB91" s="12" t="str">
        <f t="shared" ca="1" si="18"/>
        <v>✔</v>
      </c>
      <c r="AC91" s="12" t="str">
        <f t="shared" ca="1" si="18"/>
        <v xml:space="preserve"> L</v>
      </c>
      <c r="AD91" s="12" t="str">
        <f t="shared" ca="1" si="18"/>
        <v>❌</v>
      </c>
      <c r="AE91" s="12" t="str">
        <f t="shared" ca="1" si="18"/>
        <v>✔</v>
      </c>
      <c r="AF91" s="12" t="str">
        <f t="shared" ca="1" si="18"/>
        <v>✔</v>
      </c>
      <c r="AG91" s="12" t="str">
        <f t="shared" ca="1" si="18"/>
        <v xml:space="preserve"> L</v>
      </c>
      <c r="AH91" s="9">
        <f t="shared" ca="1" si="13"/>
        <v>9</v>
      </c>
      <c r="AI91" s="9">
        <f t="shared" ca="1" si="14"/>
        <v>9</v>
      </c>
      <c r="AJ91" s="9">
        <f t="shared" ca="1" si="15"/>
        <v>13</v>
      </c>
    </row>
    <row r="92" spans="1:36">
      <c r="A92" s="9" t="s">
        <v>374</v>
      </c>
      <c r="B92" s="9" t="str">
        <f>VLOOKUP(A92, Master_Roster!A$2:B$102, 2, FALSE)</f>
        <v>Jeremiah Foster</v>
      </c>
      <c r="C92" s="12" t="str">
        <f t="shared" ca="1" si="12"/>
        <v>❌</v>
      </c>
      <c r="D92" s="12" t="str">
        <f t="shared" ca="1" si="18"/>
        <v>❌</v>
      </c>
      <c r="E92" s="12" t="str">
        <f t="shared" ca="1" si="18"/>
        <v>❌</v>
      </c>
      <c r="F92" s="12" t="str">
        <f t="shared" ca="1" si="18"/>
        <v>❌</v>
      </c>
      <c r="G92" s="12" t="str">
        <f t="shared" ca="1" si="18"/>
        <v>❌</v>
      </c>
      <c r="H92" s="12" t="str">
        <f t="shared" ca="1" si="18"/>
        <v xml:space="preserve"> L</v>
      </c>
      <c r="I92" s="12" t="str">
        <f t="shared" ca="1" si="18"/>
        <v>✔</v>
      </c>
      <c r="J92" s="12" t="str">
        <f t="shared" ca="1" si="18"/>
        <v xml:space="preserve"> L</v>
      </c>
      <c r="K92" s="12" t="str">
        <f t="shared" ca="1" si="18"/>
        <v>✔</v>
      </c>
      <c r="L92" s="12" t="str">
        <f t="shared" ca="1" si="18"/>
        <v>❌</v>
      </c>
      <c r="M92" s="12" t="str">
        <f t="shared" ca="1" si="18"/>
        <v xml:space="preserve"> L</v>
      </c>
      <c r="N92" s="12" t="str">
        <f t="shared" ca="1" si="18"/>
        <v>❌</v>
      </c>
      <c r="O92" s="12" t="str">
        <f t="shared" ca="1" si="18"/>
        <v>✔</v>
      </c>
      <c r="P92" s="12" t="str">
        <f t="shared" ca="1" si="18"/>
        <v xml:space="preserve"> L</v>
      </c>
      <c r="Q92" s="12" t="str">
        <f t="shared" ca="1" si="18"/>
        <v>✔</v>
      </c>
      <c r="R92" s="12" t="str">
        <f t="shared" ca="1" si="18"/>
        <v xml:space="preserve"> L</v>
      </c>
      <c r="S92" s="12" t="str">
        <f t="shared" ca="1" si="18"/>
        <v>✔</v>
      </c>
      <c r="T92" s="12" t="str">
        <f t="shared" ca="1" si="18"/>
        <v xml:space="preserve"> L</v>
      </c>
      <c r="U92" s="12" t="str">
        <f t="shared" ca="1" si="18"/>
        <v>❌</v>
      </c>
      <c r="V92" s="12" t="str">
        <f t="shared" ca="1" si="18"/>
        <v>✔</v>
      </c>
      <c r="W92" s="12" t="str">
        <f t="shared" ca="1" si="18"/>
        <v>❌</v>
      </c>
      <c r="X92" s="12" t="str">
        <f t="shared" ca="1" si="18"/>
        <v>✔</v>
      </c>
      <c r="Y92" s="12" t="str">
        <f t="shared" ca="1" si="18"/>
        <v xml:space="preserve"> L</v>
      </c>
      <c r="Z92" s="12" t="str">
        <f t="shared" ca="1" si="18"/>
        <v xml:space="preserve"> L</v>
      </c>
      <c r="AA92" s="12" t="str">
        <f t="shared" ca="1" si="18"/>
        <v>✔</v>
      </c>
      <c r="AB92" s="12" t="str">
        <f t="shared" ca="1" si="18"/>
        <v>❌</v>
      </c>
      <c r="AC92" s="12" t="str">
        <f t="shared" ca="1" si="18"/>
        <v xml:space="preserve"> L</v>
      </c>
      <c r="AD92" s="12" t="str">
        <f t="shared" ca="1" si="18"/>
        <v>❌</v>
      </c>
      <c r="AE92" s="12" t="str">
        <f t="shared" ca="1" si="18"/>
        <v>✔</v>
      </c>
      <c r="AF92" s="12" t="str">
        <f t="shared" ca="1" si="18"/>
        <v>✔</v>
      </c>
      <c r="AG92" s="12" t="str">
        <f t="shared" ca="1" si="18"/>
        <v>❌</v>
      </c>
      <c r="AH92" s="9">
        <f t="shared" ca="1" si="13"/>
        <v>10</v>
      </c>
      <c r="AI92" s="9">
        <f t="shared" ca="1" si="14"/>
        <v>12</v>
      </c>
      <c r="AJ92" s="9">
        <f t="shared" ca="1" si="15"/>
        <v>9</v>
      </c>
    </row>
    <row r="93" spans="1:36">
      <c r="A93" s="9" t="s">
        <v>378</v>
      </c>
      <c r="B93" s="9" t="str">
        <f>VLOOKUP(A93, Master_Roster!A$2:B$102, 2, FALSE)</f>
        <v>Maya Gonzales</v>
      </c>
      <c r="C93" s="12" t="str">
        <f t="shared" ca="1" si="12"/>
        <v>✔</v>
      </c>
      <c r="D93" s="12" t="str">
        <f t="shared" ca="1" si="18"/>
        <v>✔</v>
      </c>
      <c r="E93" s="12" t="str">
        <f t="shared" ca="1" si="18"/>
        <v>✔</v>
      </c>
      <c r="F93" s="12" t="str">
        <f t="shared" ca="1" si="18"/>
        <v xml:space="preserve"> L</v>
      </c>
      <c r="G93" s="12" t="str">
        <f t="shared" ca="1" si="18"/>
        <v>❌</v>
      </c>
      <c r="H93" s="12" t="str">
        <f t="shared" ca="1" si="18"/>
        <v>❌</v>
      </c>
      <c r="I93" s="12" t="str">
        <f t="shared" ca="1" si="18"/>
        <v>❌</v>
      </c>
      <c r="J93" s="12" t="str">
        <f t="shared" ca="1" si="18"/>
        <v>✔</v>
      </c>
      <c r="K93" s="12" t="str">
        <f t="shared" ca="1" si="18"/>
        <v>❌</v>
      </c>
      <c r="L93" s="12" t="str">
        <f t="shared" ca="1" si="18"/>
        <v xml:space="preserve"> L</v>
      </c>
      <c r="M93" s="12" t="str">
        <f t="shared" ca="1" si="18"/>
        <v>✔</v>
      </c>
      <c r="N93" s="12" t="str">
        <f t="shared" ca="1" si="18"/>
        <v xml:space="preserve"> L</v>
      </c>
      <c r="O93" s="12" t="str">
        <f t="shared" ca="1" si="18"/>
        <v>✔</v>
      </c>
      <c r="P93" s="12" t="str">
        <f t="shared" ca="1" si="18"/>
        <v>✔</v>
      </c>
      <c r="Q93" s="12" t="str">
        <f t="shared" ca="1" si="18"/>
        <v>❌</v>
      </c>
      <c r="R93" s="12" t="str">
        <f t="shared" ca="1" si="18"/>
        <v>❌</v>
      </c>
      <c r="S93" s="12" t="str">
        <f t="shared" ca="1" si="18"/>
        <v>✔</v>
      </c>
      <c r="T93" s="12" t="str">
        <f t="shared" ca="1" si="18"/>
        <v>✔</v>
      </c>
      <c r="U93" s="12" t="str">
        <f t="shared" ca="1" si="18"/>
        <v xml:space="preserve"> L</v>
      </c>
      <c r="V93" s="12" t="str">
        <f t="shared" ca="1" si="18"/>
        <v>❌</v>
      </c>
      <c r="W93" s="12" t="str">
        <f t="shared" ca="1" si="18"/>
        <v>✔</v>
      </c>
      <c r="X93" s="12" t="str">
        <f t="shared" ca="1" si="18"/>
        <v>❌</v>
      </c>
      <c r="Y93" s="12" t="str">
        <f t="shared" ca="1" si="18"/>
        <v>❌</v>
      </c>
      <c r="Z93" s="12" t="str">
        <f t="shared" ca="1" si="18"/>
        <v>❌</v>
      </c>
      <c r="AA93" s="12" t="str">
        <f t="shared" ca="1" si="18"/>
        <v>❌</v>
      </c>
      <c r="AB93" s="12" t="str">
        <f t="shared" ca="1" si="18"/>
        <v>✔</v>
      </c>
      <c r="AC93" s="12" t="str">
        <f t="shared" ca="1" si="18"/>
        <v xml:space="preserve"> L</v>
      </c>
      <c r="AD93" s="12" t="str">
        <f t="shared" ca="1" si="18"/>
        <v>❌</v>
      </c>
      <c r="AE93" s="12" t="str">
        <f t="shared" ca="1" si="18"/>
        <v xml:space="preserve"> L</v>
      </c>
      <c r="AF93" s="12" t="str">
        <f t="shared" ca="1" si="18"/>
        <v xml:space="preserve"> L</v>
      </c>
      <c r="AG93" s="12" t="str">
        <f t="shared" ca="1" si="18"/>
        <v>❌</v>
      </c>
      <c r="AH93" s="9">
        <f t="shared" ca="1" si="13"/>
        <v>11</v>
      </c>
      <c r="AI93" s="9">
        <f t="shared" ca="1" si="14"/>
        <v>13</v>
      </c>
      <c r="AJ93" s="9">
        <f t="shared" ca="1" si="15"/>
        <v>7</v>
      </c>
    </row>
    <row r="94" spans="1:36">
      <c r="A94" s="9" t="s">
        <v>382</v>
      </c>
      <c r="B94" s="9" t="str">
        <f>VLOOKUP(A94, Master_Roster!A$2:B$102, 2, FALSE)</f>
        <v>Easton Bryant</v>
      </c>
      <c r="C94" s="12" t="str">
        <f t="shared" ca="1" si="12"/>
        <v xml:space="preserve"> L</v>
      </c>
      <c r="D94" s="12" t="str">
        <f t="shared" ca="1" si="18"/>
        <v xml:space="preserve"> L</v>
      </c>
      <c r="E94" s="12" t="str">
        <f t="shared" ca="1" si="18"/>
        <v xml:space="preserve"> L</v>
      </c>
      <c r="F94" s="12" t="str">
        <f t="shared" ca="1" si="18"/>
        <v>✔</v>
      </c>
      <c r="G94" s="12" t="str">
        <f t="shared" ca="1" si="18"/>
        <v>✔</v>
      </c>
      <c r="H94" s="12" t="str">
        <f t="shared" ca="1" si="18"/>
        <v>❌</v>
      </c>
      <c r="I94" s="12" t="str">
        <f t="shared" ca="1" si="18"/>
        <v>❌</v>
      </c>
      <c r="J94" s="12" t="str">
        <f t="shared" ca="1" si="18"/>
        <v>✔</v>
      </c>
      <c r="K94" s="12" t="str">
        <f t="shared" ca="1" si="18"/>
        <v>❌</v>
      </c>
      <c r="L94" s="12" t="str">
        <f t="shared" ca="1" si="18"/>
        <v>❌</v>
      </c>
      <c r="M94" s="12" t="str">
        <f t="shared" ca="1" si="18"/>
        <v>❌</v>
      </c>
      <c r="N94" s="12" t="str">
        <f t="shared" ca="1" si="18"/>
        <v xml:space="preserve"> L</v>
      </c>
      <c r="O94" s="12" t="str">
        <f t="shared" ca="1" si="18"/>
        <v xml:space="preserve"> L</v>
      </c>
      <c r="P94" s="12" t="str">
        <f t="shared" ca="1" si="18"/>
        <v>✔</v>
      </c>
      <c r="Q94" s="12" t="str">
        <f t="shared" ca="1" si="18"/>
        <v>✔</v>
      </c>
      <c r="R94" s="12" t="str">
        <f t="shared" ca="1" si="18"/>
        <v>❌</v>
      </c>
      <c r="S94" s="12" t="str">
        <f t="shared" ca="1" si="18"/>
        <v>✔</v>
      </c>
      <c r="T94" s="12" t="str">
        <f t="shared" ca="1" si="18"/>
        <v xml:space="preserve"> L</v>
      </c>
      <c r="U94" s="12" t="str">
        <f t="shared" ca="1" si="18"/>
        <v xml:space="preserve"> L</v>
      </c>
      <c r="V94" s="12" t="str">
        <f t="shared" ca="1" si="18"/>
        <v>✔</v>
      </c>
      <c r="W94" s="12" t="str">
        <f t="shared" ca="1" si="18"/>
        <v xml:space="preserve"> L</v>
      </c>
      <c r="X94" s="12" t="str">
        <f t="shared" ca="1" si="18"/>
        <v>✔</v>
      </c>
      <c r="Y94" s="12" t="str">
        <f t="shared" ca="1" si="18"/>
        <v xml:space="preserve"> L</v>
      </c>
      <c r="Z94" s="12" t="str">
        <f t="shared" ca="1" si="18"/>
        <v>✔</v>
      </c>
      <c r="AA94" s="12" t="str">
        <f t="shared" ca="1" si="18"/>
        <v xml:space="preserve"> L</v>
      </c>
      <c r="AB94" s="12" t="str">
        <f t="shared" ca="1" si="18"/>
        <v xml:space="preserve"> L</v>
      </c>
      <c r="AC94" s="12" t="str">
        <f t="shared" ca="1" si="18"/>
        <v>❌</v>
      </c>
      <c r="AD94" s="12" t="str">
        <f t="shared" ca="1" si="18"/>
        <v xml:space="preserve"> L</v>
      </c>
      <c r="AE94" s="12" t="str">
        <f t="shared" ca="1" si="18"/>
        <v xml:space="preserve"> L</v>
      </c>
      <c r="AF94" s="12" t="str">
        <f t="shared" ca="1" si="18"/>
        <v xml:space="preserve"> L</v>
      </c>
      <c r="AG94" s="12" t="str">
        <f t="shared" ca="1" si="18"/>
        <v>❌</v>
      </c>
      <c r="AH94" s="9">
        <f t="shared" ca="1" si="13"/>
        <v>9</v>
      </c>
      <c r="AI94" s="9">
        <f t="shared" ca="1" si="14"/>
        <v>8</v>
      </c>
      <c r="AJ94" s="9">
        <f t="shared" ca="1" si="15"/>
        <v>14</v>
      </c>
    </row>
    <row r="95" spans="1:36">
      <c r="A95" s="9" t="s">
        <v>386</v>
      </c>
      <c r="B95" s="9" t="str">
        <f>VLOOKUP(A95, Master_Roster!A$2:B$102, 2, FALSE)</f>
        <v>Allison Alexander</v>
      </c>
      <c r="C95" s="12" t="str">
        <f t="shared" ca="1" si="12"/>
        <v>❌</v>
      </c>
      <c r="D95" s="12" t="str">
        <f t="shared" ca="1" si="18"/>
        <v>✔</v>
      </c>
      <c r="E95" s="12" t="str">
        <f t="shared" ca="1" si="18"/>
        <v>❌</v>
      </c>
      <c r="F95" s="12" t="str">
        <f t="shared" ca="1" si="18"/>
        <v>❌</v>
      </c>
      <c r="G95" s="12" t="str">
        <f t="shared" ca="1" si="18"/>
        <v>✔</v>
      </c>
      <c r="H95" s="12" t="str">
        <f t="shared" ca="1" si="18"/>
        <v>✔</v>
      </c>
      <c r="I95" s="12" t="str">
        <f t="shared" ca="1" si="18"/>
        <v>✔</v>
      </c>
      <c r="J95" s="12" t="str">
        <f t="shared" ca="1" si="18"/>
        <v xml:space="preserve"> L</v>
      </c>
      <c r="K95" s="12" t="str">
        <f t="shared" ca="1" si="18"/>
        <v>❌</v>
      </c>
      <c r="L95" s="12" t="str">
        <f t="shared" ca="1" si="18"/>
        <v>❌</v>
      </c>
      <c r="M95" s="12" t="str">
        <f t="shared" ca="1" si="18"/>
        <v xml:space="preserve"> L</v>
      </c>
      <c r="N95" s="12" t="str">
        <f t="shared" ca="1" si="18"/>
        <v>❌</v>
      </c>
      <c r="O95" s="12" t="str">
        <f t="shared" ca="1" si="18"/>
        <v xml:space="preserve"> L</v>
      </c>
      <c r="P95" s="12" t="str">
        <f t="shared" ca="1" si="18"/>
        <v>❌</v>
      </c>
      <c r="Q95" s="12" t="str">
        <f t="shared" ca="1" si="18"/>
        <v>✔</v>
      </c>
      <c r="R95" s="12" t="str">
        <f t="shared" ca="1" si="18"/>
        <v>✔</v>
      </c>
      <c r="S95" s="12" t="str">
        <f t="shared" ca="1" si="18"/>
        <v xml:space="preserve"> L</v>
      </c>
      <c r="T95" s="12" t="str">
        <f t="shared" ca="1" si="18"/>
        <v xml:space="preserve"> L</v>
      </c>
      <c r="U95" s="12" t="str">
        <f t="shared" ca="1" si="18"/>
        <v>✔</v>
      </c>
      <c r="V95" s="12" t="str">
        <f t="shared" ca="1" si="18"/>
        <v>❌</v>
      </c>
      <c r="W95" s="12" t="str">
        <f t="shared" ca="1" si="18"/>
        <v>❌</v>
      </c>
      <c r="X95" s="12" t="str">
        <f t="shared" ca="1" si="18"/>
        <v>✔</v>
      </c>
      <c r="Y95" s="12" t="str">
        <f t="shared" ca="1" si="18"/>
        <v>✔</v>
      </c>
      <c r="Z95" s="12" t="str">
        <f t="shared" ca="1" si="18"/>
        <v xml:space="preserve"> L</v>
      </c>
      <c r="AA95" s="12" t="str">
        <f t="shared" ca="1" si="18"/>
        <v xml:space="preserve"> L</v>
      </c>
      <c r="AB95" s="12" t="str">
        <f t="shared" ca="1" si="18"/>
        <v xml:space="preserve"> L</v>
      </c>
      <c r="AC95" s="12" t="str">
        <f t="shared" ca="1" si="18"/>
        <v xml:space="preserve"> L</v>
      </c>
      <c r="AD95" s="12" t="str">
        <f t="shared" ca="1" si="18"/>
        <v xml:space="preserve"> L</v>
      </c>
      <c r="AE95" s="12" t="str">
        <f t="shared" ca="1" si="18"/>
        <v>❌</v>
      </c>
      <c r="AF95" s="12" t="str">
        <f t="shared" ca="1" si="18"/>
        <v>❌</v>
      </c>
      <c r="AG95" s="12" t="str">
        <f t="shared" ca="1" si="18"/>
        <v>❌</v>
      </c>
      <c r="AH95" s="9">
        <f t="shared" ca="1" si="13"/>
        <v>9</v>
      </c>
      <c r="AI95" s="9">
        <f t="shared" ca="1" si="14"/>
        <v>12</v>
      </c>
      <c r="AJ95" s="9">
        <f t="shared" ca="1" si="15"/>
        <v>10</v>
      </c>
    </row>
    <row r="96" spans="1:36">
      <c r="A96" s="9" t="s">
        <v>390</v>
      </c>
      <c r="B96" s="9" t="str">
        <f>VLOOKUP(A96, Master_Roster!A$2:B$102, 2, FALSE)</f>
        <v>Leonardo Russell</v>
      </c>
      <c r="C96" s="12" t="str">
        <f t="shared" ca="1" si="12"/>
        <v>❌</v>
      </c>
      <c r="D96" s="12" t="str">
        <f t="shared" ca="1" si="18"/>
        <v>✔</v>
      </c>
      <c r="E96" s="12" t="str">
        <f t="shared" ca="1" si="18"/>
        <v xml:space="preserve"> L</v>
      </c>
      <c r="F96" s="12" t="str">
        <f t="shared" ca="1" si="18"/>
        <v xml:space="preserve"> L</v>
      </c>
      <c r="G96" s="12" t="str">
        <f t="shared" ca="1" si="18"/>
        <v xml:space="preserve"> L</v>
      </c>
      <c r="H96" s="12" t="str">
        <f t="shared" ca="1" si="18"/>
        <v>✔</v>
      </c>
      <c r="I96" s="12" t="str">
        <f t="shared" ca="1" si="18"/>
        <v xml:space="preserve"> L</v>
      </c>
      <c r="J96" s="12" t="str">
        <f t="shared" ca="1" si="18"/>
        <v xml:space="preserve"> L</v>
      </c>
      <c r="K96" s="12" t="str">
        <f t="shared" ca="1" si="18"/>
        <v>✔</v>
      </c>
      <c r="L96" s="12" t="str">
        <f t="shared" ca="1" si="18"/>
        <v xml:space="preserve"> L</v>
      </c>
      <c r="M96" s="12" t="str">
        <f t="shared" ca="1" si="18"/>
        <v>❌</v>
      </c>
      <c r="N96" s="12" t="str">
        <f t="shared" ca="1" si="18"/>
        <v>❌</v>
      </c>
      <c r="O96" s="12" t="str">
        <f t="shared" ca="1" si="18"/>
        <v>✔</v>
      </c>
      <c r="P96" s="12" t="str">
        <f t="shared" ca="1" si="18"/>
        <v>❌</v>
      </c>
      <c r="Q96" s="12" t="str">
        <f t="shared" ca="1" si="18"/>
        <v>❌</v>
      </c>
      <c r="R96" s="12" t="str">
        <f t="shared" ca="1" si="18"/>
        <v xml:space="preserve"> L</v>
      </c>
      <c r="S96" s="12" t="str">
        <f t="shared" ca="1" si="18"/>
        <v>✔</v>
      </c>
      <c r="T96" s="12" t="str">
        <f t="shared" ca="1" si="18"/>
        <v>✔</v>
      </c>
      <c r="U96" s="12" t="str">
        <f t="shared" ca="1" si="18"/>
        <v xml:space="preserve"> L</v>
      </c>
      <c r="V96" s="12" t="str">
        <f t="shared" ca="1" si="18"/>
        <v>✔</v>
      </c>
      <c r="W96" s="12" t="str">
        <f t="shared" ca="1" si="18"/>
        <v>✔</v>
      </c>
      <c r="X96" s="12" t="str">
        <f t="shared" ca="1" si="18"/>
        <v xml:space="preserve"> L</v>
      </c>
      <c r="Y96" s="12" t="str">
        <f t="shared" ca="1" si="18"/>
        <v xml:space="preserve"> L</v>
      </c>
      <c r="Z96" s="12" t="str">
        <f t="shared" ca="1" si="18"/>
        <v>✔</v>
      </c>
      <c r="AA96" s="12" t="str">
        <f t="shared" ca="1" si="18"/>
        <v>✔</v>
      </c>
      <c r="AB96" s="12" t="str">
        <f t="shared" ca="1" si="18"/>
        <v>❌</v>
      </c>
      <c r="AC96" s="12" t="str">
        <f t="shared" ca="1" si="18"/>
        <v>✔</v>
      </c>
      <c r="AD96" s="12" t="str">
        <f t="shared" ca="1" si="18"/>
        <v xml:space="preserve"> L</v>
      </c>
      <c r="AE96" s="12" t="str">
        <f t="shared" ca="1" si="18"/>
        <v xml:space="preserve"> L</v>
      </c>
      <c r="AF96" s="12" t="str">
        <f t="shared" ca="1" si="18"/>
        <v>✔</v>
      </c>
      <c r="AG96" s="12" t="str">
        <f t="shared" ca="1" si="18"/>
        <v xml:space="preserve"> L</v>
      </c>
      <c r="AH96" s="9">
        <f t="shared" ca="1" si="13"/>
        <v>12</v>
      </c>
      <c r="AI96" s="9">
        <f t="shared" ca="1" si="14"/>
        <v>6</v>
      </c>
      <c r="AJ96" s="9">
        <f t="shared" ca="1" si="15"/>
        <v>13</v>
      </c>
    </row>
    <row r="97" spans="1:36">
      <c r="A97" s="9" t="s">
        <v>394</v>
      </c>
      <c r="B97" s="9" t="str">
        <f>VLOOKUP(A97, Master_Roster!A$2:B$102, 2, FALSE)</f>
        <v>Samantha Griffin</v>
      </c>
      <c r="C97" s="12" t="str">
        <f t="shared" ca="1" si="12"/>
        <v>✔</v>
      </c>
      <c r="D97" s="12" t="str">
        <f t="shared" ca="1" si="18"/>
        <v xml:space="preserve"> L</v>
      </c>
      <c r="E97" s="12" t="str">
        <f t="shared" ca="1" si="18"/>
        <v xml:space="preserve"> L</v>
      </c>
      <c r="F97" s="12" t="str">
        <f t="shared" ca="1" si="18"/>
        <v>❌</v>
      </c>
      <c r="G97" s="12" t="str">
        <f t="shared" ca="1" si="18"/>
        <v xml:space="preserve"> L</v>
      </c>
      <c r="H97" s="12" t="str">
        <f t="shared" ca="1" si="18"/>
        <v xml:space="preserve"> L</v>
      </c>
      <c r="I97" s="12" t="str">
        <f t="shared" ca="1" si="18"/>
        <v>✔</v>
      </c>
      <c r="J97" s="12" t="str">
        <f t="shared" ca="1" si="18"/>
        <v xml:space="preserve"> L</v>
      </c>
      <c r="K97" s="12" t="str">
        <f t="shared" ca="1" si="18"/>
        <v>✔</v>
      </c>
      <c r="L97" s="12" t="str">
        <f t="shared" ca="1" si="18"/>
        <v xml:space="preserve"> L</v>
      </c>
      <c r="M97" s="12" t="str">
        <f t="shared" ca="1" si="18"/>
        <v>✔</v>
      </c>
      <c r="N97" s="12" t="str">
        <f t="shared" ca="1" si="18"/>
        <v xml:space="preserve"> L</v>
      </c>
      <c r="O97" s="12" t="str">
        <f t="shared" ca="1" si="18"/>
        <v>✔</v>
      </c>
      <c r="P97" s="12" t="str">
        <f t="shared" ca="1" si="18"/>
        <v>❌</v>
      </c>
      <c r="Q97" s="12" t="str">
        <f t="shared" ca="1" si="18"/>
        <v>✔</v>
      </c>
      <c r="R97" s="12" t="str">
        <f t="shared" ca="1" si="18"/>
        <v xml:space="preserve"> L</v>
      </c>
      <c r="S97" s="12" t="str">
        <f t="shared" ca="1" si="18"/>
        <v>✔</v>
      </c>
      <c r="T97" s="12" t="str">
        <f t="shared" ca="1" si="18"/>
        <v xml:space="preserve"> L</v>
      </c>
      <c r="U97" s="12" t="str">
        <f t="shared" ca="1" si="18"/>
        <v>❌</v>
      </c>
      <c r="V97" s="12" t="str">
        <f t="shared" ca="1" si="18"/>
        <v>❌</v>
      </c>
      <c r="W97" s="12" t="str">
        <f t="shared" ca="1" si="18"/>
        <v>❌</v>
      </c>
      <c r="X97" s="12" t="str">
        <f t="shared" ca="1" si="18"/>
        <v>✔</v>
      </c>
      <c r="Y97" s="12" t="str">
        <f t="shared" ca="1" si="18"/>
        <v>✔</v>
      </c>
      <c r="Z97" s="12" t="str">
        <f t="shared" ca="1" si="18"/>
        <v xml:space="preserve"> L</v>
      </c>
      <c r="AA97" s="12" t="str">
        <f t="shared" ca="1" si="18"/>
        <v>❌</v>
      </c>
      <c r="AB97" s="12" t="str">
        <f t="shared" ca="1" si="18"/>
        <v>✔</v>
      </c>
      <c r="AC97" s="12" t="str">
        <f t="shared" ca="1" si="18"/>
        <v>✔</v>
      </c>
      <c r="AD97" s="12" t="str">
        <f t="shared" ca="1" si="18"/>
        <v>✔</v>
      </c>
      <c r="AE97" s="12" t="str">
        <f t="shared" ca="1" si="18"/>
        <v>❌</v>
      </c>
      <c r="AF97" s="12" t="str">
        <f t="shared" ca="1" si="18"/>
        <v xml:space="preserve"> L</v>
      </c>
      <c r="AG97" s="12" t="str">
        <f t="shared" ca="1" si="18"/>
        <v>✔</v>
      </c>
      <c r="AH97" s="9">
        <f t="shared" ca="1" si="13"/>
        <v>13</v>
      </c>
      <c r="AI97" s="9">
        <f t="shared" ca="1" si="14"/>
        <v>7</v>
      </c>
      <c r="AJ97" s="9">
        <f t="shared" ca="1" si="15"/>
        <v>11</v>
      </c>
    </row>
    <row r="98" spans="1:36">
      <c r="A98" s="9" t="s">
        <v>397</v>
      </c>
      <c r="B98" s="9" t="str">
        <f>VLOOKUP(A98, Master_Roster!A$2:B$102, 2, FALSE)</f>
        <v>Cooper Diaz</v>
      </c>
      <c r="C98" s="12" t="str">
        <f t="shared" ca="1" si="12"/>
        <v>❌</v>
      </c>
      <c r="D98" s="12" t="str">
        <f t="shared" ca="1" si="18"/>
        <v>❌</v>
      </c>
      <c r="E98" s="12" t="str">
        <f t="shared" ca="1" si="18"/>
        <v xml:space="preserve"> L</v>
      </c>
      <c r="F98" s="12" t="str">
        <f t="shared" ca="1" si="18"/>
        <v>✔</v>
      </c>
      <c r="G98" s="12" t="str">
        <f t="shared" ca="1" si="18"/>
        <v>❌</v>
      </c>
      <c r="H98" s="12" t="str">
        <f t="shared" ca="1" si="18"/>
        <v xml:space="preserve"> L</v>
      </c>
      <c r="I98" s="12" t="str">
        <f t="shared" ca="1" si="18"/>
        <v>✔</v>
      </c>
      <c r="J98" s="12" t="str">
        <f t="shared" ca="1" si="18"/>
        <v>❌</v>
      </c>
      <c r="K98" s="12" t="str">
        <f t="shared" ca="1" si="18"/>
        <v>❌</v>
      </c>
      <c r="L98" s="12" t="str">
        <f t="shared" ca="1" si="18"/>
        <v>✔</v>
      </c>
      <c r="M98" s="12" t="str">
        <f t="shared" ca="1" si="18"/>
        <v>✔</v>
      </c>
      <c r="N98" s="12" t="str">
        <f t="shared" ca="1" si="18"/>
        <v>❌</v>
      </c>
      <c r="O98" s="12" t="str">
        <f t="shared" ca="1" si="18"/>
        <v>✔</v>
      </c>
      <c r="P98" s="12" t="str">
        <f t="shared" ca="1" si="18"/>
        <v>❌</v>
      </c>
      <c r="Q98" s="12" t="str">
        <f t="shared" ca="1" si="18"/>
        <v>❌</v>
      </c>
      <c r="R98" s="12" t="str">
        <f t="shared" ca="1" si="18"/>
        <v>❌</v>
      </c>
      <c r="S98" s="12" t="str">
        <f t="shared" ref="D98:AG103" ca="1" si="19">CHOOSE(RANDBETWEEN(1, 3), "✔", " L", "❌")</f>
        <v xml:space="preserve"> L</v>
      </c>
      <c r="T98" s="12" t="str">
        <f t="shared" ca="1" si="19"/>
        <v>❌</v>
      </c>
      <c r="U98" s="12" t="str">
        <f t="shared" ca="1" si="19"/>
        <v>✔</v>
      </c>
      <c r="V98" s="12" t="str">
        <f t="shared" ca="1" si="19"/>
        <v xml:space="preserve"> L</v>
      </c>
      <c r="W98" s="12" t="str">
        <f t="shared" ca="1" si="19"/>
        <v>❌</v>
      </c>
      <c r="X98" s="12" t="str">
        <f t="shared" ca="1" si="19"/>
        <v>✔</v>
      </c>
      <c r="Y98" s="12" t="str">
        <f t="shared" ca="1" si="19"/>
        <v>✔</v>
      </c>
      <c r="Z98" s="12" t="str">
        <f t="shared" ca="1" si="19"/>
        <v xml:space="preserve"> L</v>
      </c>
      <c r="AA98" s="12" t="str">
        <f t="shared" ca="1" si="19"/>
        <v>❌</v>
      </c>
      <c r="AB98" s="12" t="str">
        <f t="shared" ca="1" si="19"/>
        <v>❌</v>
      </c>
      <c r="AC98" s="12" t="str">
        <f t="shared" ca="1" si="19"/>
        <v>❌</v>
      </c>
      <c r="AD98" s="12" t="str">
        <f t="shared" ca="1" si="19"/>
        <v>✔</v>
      </c>
      <c r="AE98" s="12" t="str">
        <f t="shared" ca="1" si="19"/>
        <v>❌</v>
      </c>
      <c r="AF98" s="12" t="str">
        <f t="shared" ca="1" si="19"/>
        <v>✔</v>
      </c>
      <c r="AG98" s="12" t="str">
        <f t="shared" ca="1" si="19"/>
        <v>✔</v>
      </c>
      <c r="AH98" s="9">
        <f t="shared" ca="1" si="13"/>
        <v>11</v>
      </c>
      <c r="AI98" s="9">
        <f t="shared" ca="1" si="14"/>
        <v>15</v>
      </c>
      <c r="AJ98" s="9">
        <f t="shared" ca="1" si="15"/>
        <v>5</v>
      </c>
    </row>
    <row r="99" spans="1:36">
      <c r="A99" s="9" t="s">
        <v>400</v>
      </c>
      <c r="B99" s="9" t="str">
        <f>VLOOKUP(A99, Master_Roster!A$2:B$102, 2, FALSE)</f>
        <v>Maria Hayes</v>
      </c>
      <c r="C99" s="12" t="str">
        <f t="shared" ca="1" si="12"/>
        <v>✔</v>
      </c>
      <c r="D99" s="12" t="str">
        <f t="shared" ca="1" si="19"/>
        <v>❌</v>
      </c>
      <c r="E99" s="12" t="str">
        <f t="shared" ca="1" si="19"/>
        <v>✔</v>
      </c>
      <c r="F99" s="12" t="str">
        <f t="shared" ca="1" si="19"/>
        <v xml:space="preserve"> L</v>
      </c>
      <c r="G99" s="12" t="str">
        <f t="shared" ca="1" si="19"/>
        <v xml:space="preserve"> L</v>
      </c>
      <c r="H99" s="12" t="str">
        <f t="shared" ca="1" si="19"/>
        <v xml:space="preserve"> L</v>
      </c>
      <c r="I99" s="12" t="str">
        <f t="shared" ca="1" si="19"/>
        <v xml:space="preserve"> L</v>
      </c>
      <c r="J99" s="12" t="str">
        <f t="shared" ca="1" si="19"/>
        <v>✔</v>
      </c>
      <c r="K99" s="12" t="str">
        <f t="shared" ca="1" si="19"/>
        <v>✔</v>
      </c>
      <c r="L99" s="12" t="str">
        <f t="shared" ca="1" si="19"/>
        <v>❌</v>
      </c>
      <c r="M99" s="12" t="str">
        <f t="shared" ca="1" si="19"/>
        <v xml:space="preserve"> L</v>
      </c>
      <c r="N99" s="12" t="str">
        <f t="shared" ca="1" si="19"/>
        <v>✔</v>
      </c>
      <c r="O99" s="12" t="str">
        <f t="shared" ca="1" si="19"/>
        <v>✔</v>
      </c>
      <c r="P99" s="12" t="str">
        <f t="shared" ca="1" si="19"/>
        <v>✔</v>
      </c>
      <c r="Q99" s="12" t="str">
        <f t="shared" ca="1" si="19"/>
        <v xml:space="preserve"> L</v>
      </c>
      <c r="R99" s="12" t="str">
        <f t="shared" ca="1" si="19"/>
        <v xml:space="preserve"> L</v>
      </c>
      <c r="S99" s="12" t="str">
        <f t="shared" ca="1" si="19"/>
        <v>✔</v>
      </c>
      <c r="T99" s="12" t="str">
        <f t="shared" ca="1" si="19"/>
        <v>❌</v>
      </c>
      <c r="U99" s="12" t="str">
        <f t="shared" ca="1" si="19"/>
        <v xml:space="preserve"> L</v>
      </c>
      <c r="V99" s="12" t="str">
        <f t="shared" ca="1" si="19"/>
        <v xml:space="preserve"> L</v>
      </c>
      <c r="W99" s="12" t="str">
        <f t="shared" ca="1" si="19"/>
        <v>❌</v>
      </c>
      <c r="X99" s="12" t="str">
        <f t="shared" ca="1" si="19"/>
        <v>❌</v>
      </c>
      <c r="Y99" s="12" t="str">
        <f t="shared" ca="1" si="19"/>
        <v>✔</v>
      </c>
      <c r="Z99" s="12" t="str">
        <f t="shared" ca="1" si="19"/>
        <v>❌</v>
      </c>
      <c r="AA99" s="12" t="str">
        <f t="shared" ca="1" si="19"/>
        <v xml:space="preserve"> L</v>
      </c>
      <c r="AB99" s="12" t="str">
        <f t="shared" ca="1" si="19"/>
        <v>❌</v>
      </c>
      <c r="AC99" s="12" t="str">
        <f t="shared" ca="1" si="19"/>
        <v xml:space="preserve"> L</v>
      </c>
      <c r="AD99" s="12" t="str">
        <f t="shared" ca="1" si="19"/>
        <v>❌</v>
      </c>
      <c r="AE99" s="12" t="str">
        <f t="shared" ca="1" si="19"/>
        <v>❌</v>
      </c>
      <c r="AF99" s="12" t="str">
        <f t="shared" ca="1" si="19"/>
        <v xml:space="preserve"> L</v>
      </c>
      <c r="AG99" s="12" t="str">
        <f t="shared" ca="1" si="19"/>
        <v xml:space="preserve"> L</v>
      </c>
      <c r="AH99" s="9">
        <f t="shared" ca="1" si="13"/>
        <v>9</v>
      </c>
      <c r="AI99" s="9">
        <f t="shared" ca="1" si="14"/>
        <v>9</v>
      </c>
      <c r="AJ99" s="9">
        <f t="shared" ca="1" si="15"/>
        <v>13</v>
      </c>
    </row>
    <row r="100" spans="1:36">
      <c r="A100" s="9" t="s">
        <v>403</v>
      </c>
      <c r="B100" s="9" t="str">
        <f>VLOOKUP(A100, Master_Roster!A$2:B$102, 2, FALSE)</f>
        <v>Mateo Myers</v>
      </c>
      <c r="C100" s="12" t="str">
        <f t="shared" ca="1" si="12"/>
        <v>✔</v>
      </c>
      <c r="D100" s="12" t="str">
        <f t="shared" ca="1" si="19"/>
        <v>❌</v>
      </c>
      <c r="E100" s="12" t="str">
        <f t="shared" ca="1" si="19"/>
        <v>❌</v>
      </c>
      <c r="F100" s="12" t="str">
        <f t="shared" ca="1" si="19"/>
        <v>✔</v>
      </c>
      <c r="G100" s="12" t="str">
        <f t="shared" ca="1" si="19"/>
        <v>✔</v>
      </c>
      <c r="H100" s="12" t="str">
        <f t="shared" ca="1" si="19"/>
        <v xml:space="preserve"> L</v>
      </c>
      <c r="I100" s="12" t="str">
        <f t="shared" ca="1" si="19"/>
        <v xml:space="preserve"> L</v>
      </c>
      <c r="J100" s="12" t="str">
        <f t="shared" ca="1" si="19"/>
        <v>❌</v>
      </c>
      <c r="K100" s="12" t="str">
        <f t="shared" ca="1" si="19"/>
        <v xml:space="preserve"> L</v>
      </c>
      <c r="L100" s="12" t="str">
        <f t="shared" ca="1" si="19"/>
        <v>❌</v>
      </c>
      <c r="M100" s="12" t="str">
        <f t="shared" ca="1" si="19"/>
        <v>✔</v>
      </c>
      <c r="N100" s="12" t="str">
        <f t="shared" ca="1" si="19"/>
        <v xml:space="preserve"> L</v>
      </c>
      <c r="O100" s="12" t="str">
        <f t="shared" ca="1" si="19"/>
        <v>✔</v>
      </c>
      <c r="P100" s="12" t="str">
        <f t="shared" ca="1" si="19"/>
        <v>✔</v>
      </c>
      <c r="Q100" s="12" t="str">
        <f t="shared" ca="1" si="19"/>
        <v>✔</v>
      </c>
      <c r="R100" s="12" t="str">
        <f t="shared" ca="1" si="19"/>
        <v>✔</v>
      </c>
      <c r="S100" s="12" t="str">
        <f t="shared" ca="1" si="19"/>
        <v>✔</v>
      </c>
      <c r="T100" s="12" t="str">
        <f t="shared" ca="1" si="19"/>
        <v>❌</v>
      </c>
      <c r="U100" s="12" t="str">
        <f t="shared" ca="1" si="19"/>
        <v>✔</v>
      </c>
      <c r="V100" s="12" t="str">
        <f t="shared" ca="1" si="19"/>
        <v>❌</v>
      </c>
      <c r="W100" s="12" t="str">
        <f t="shared" ca="1" si="19"/>
        <v>✔</v>
      </c>
      <c r="X100" s="12" t="str">
        <f t="shared" ca="1" si="19"/>
        <v>✔</v>
      </c>
      <c r="Y100" s="12" t="str">
        <f t="shared" ca="1" si="19"/>
        <v xml:space="preserve"> L</v>
      </c>
      <c r="Z100" s="12" t="str">
        <f t="shared" ca="1" si="19"/>
        <v xml:space="preserve"> L</v>
      </c>
      <c r="AA100" s="12" t="str">
        <f t="shared" ca="1" si="19"/>
        <v>✔</v>
      </c>
      <c r="AB100" s="12" t="str">
        <f t="shared" ca="1" si="19"/>
        <v>❌</v>
      </c>
      <c r="AC100" s="12" t="str">
        <f t="shared" ca="1" si="19"/>
        <v xml:space="preserve"> L</v>
      </c>
      <c r="AD100" s="12" t="str">
        <f t="shared" ca="1" si="19"/>
        <v>✔</v>
      </c>
      <c r="AE100" s="12" t="str">
        <f t="shared" ca="1" si="19"/>
        <v>✔</v>
      </c>
      <c r="AF100" s="12" t="str">
        <f t="shared" ca="1" si="19"/>
        <v xml:space="preserve"> L</v>
      </c>
      <c r="AG100" s="12" t="str">
        <f t="shared" ca="1" si="19"/>
        <v xml:space="preserve"> L</v>
      </c>
      <c r="AH100" s="9">
        <f t="shared" ca="1" si="13"/>
        <v>15</v>
      </c>
      <c r="AI100" s="9">
        <f t="shared" ca="1" si="14"/>
        <v>7</v>
      </c>
      <c r="AJ100" s="9">
        <f t="shared" ca="1" si="15"/>
        <v>9</v>
      </c>
    </row>
    <row r="101" spans="1:36">
      <c r="A101" s="9" t="s">
        <v>407</v>
      </c>
      <c r="B101" s="9" t="str">
        <f>VLOOKUP(A101, Master_Roster!A$2:B$102, 2, FALSE)</f>
        <v>Sadie Ford</v>
      </c>
      <c r="C101" s="12" t="str">
        <f t="shared" ca="1" si="12"/>
        <v xml:space="preserve"> L</v>
      </c>
      <c r="D101" s="12" t="str">
        <f t="shared" ca="1" si="19"/>
        <v xml:space="preserve"> L</v>
      </c>
      <c r="E101" s="12" t="str">
        <f t="shared" ca="1" si="19"/>
        <v>✔</v>
      </c>
      <c r="F101" s="12" t="str">
        <f t="shared" ca="1" si="19"/>
        <v>✔</v>
      </c>
      <c r="G101" s="12" t="str">
        <f t="shared" ca="1" si="19"/>
        <v>❌</v>
      </c>
      <c r="H101" s="12" t="str">
        <f t="shared" ca="1" si="19"/>
        <v>❌</v>
      </c>
      <c r="I101" s="12" t="str">
        <f t="shared" ca="1" si="19"/>
        <v>❌</v>
      </c>
      <c r="J101" s="12" t="str">
        <f t="shared" ca="1" si="19"/>
        <v>✔</v>
      </c>
      <c r="K101" s="12" t="str">
        <f t="shared" ca="1" si="19"/>
        <v xml:space="preserve"> L</v>
      </c>
      <c r="L101" s="12" t="str">
        <f t="shared" ca="1" si="19"/>
        <v>✔</v>
      </c>
      <c r="M101" s="12" t="str">
        <f t="shared" ca="1" si="19"/>
        <v>✔</v>
      </c>
      <c r="N101" s="12" t="str">
        <f t="shared" ca="1" si="19"/>
        <v xml:space="preserve"> L</v>
      </c>
      <c r="O101" s="12" t="str">
        <f t="shared" ca="1" si="19"/>
        <v xml:space="preserve"> L</v>
      </c>
      <c r="P101" s="12" t="str">
        <f t="shared" ca="1" si="19"/>
        <v>✔</v>
      </c>
      <c r="Q101" s="12" t="str">
        <f t="shared" ca="1" si="19"/>
        <v>✔</v>
      </c>
      <c r="R101" s="12" t="str">
        <f t="shared" ca="1" si="19"/>
        <v>✔</v>
      </c>
      <c r="S101" s="12" t="str">
        <f t="shared" ca="1" si="19"/>
        <v>✔</v>
      </c>
      <c r="T101" s="12" t="str">
        <f t="shared" ca="1" si="19"/>
        <v>❌</v>
      </c>
      <c r="U101" s="12" t="str">
        <f t="shared" ca="1" si="19"/>
        <v xml:space="preserve"> L</v>
      </c>
      <c r="V101" s="12" t="str">
        <f t="shared" ca="1" si="19"/>
        <v xml:space="preserve"> L</v>
      </c>
      <c r="W101" s="12" t="str">
        <f t="shared" ca="1" si="19"/>
        <v>✔</v>
      </c>
      <c r="X101" s="12" t="str">
        <f t="shared" ca="1" si="19"/>
        <v xml:space="preserve"> L</v>
      </c>
      <c r="Y101" s="12" t="str">
        <f t="shared" ca="1" si="19"/>
        <v xml:space="preserve"> L</v>
      </c>
      <c r="Z101" s="12" t="str">
        <f t="shared" ca="1" si="19"/>
        <v xml:space="preserve"> L</v>
      </c>
      <c r="AA101" s="12" t="str">
        <f t="shared" ca="1" si="19"/>
        <v>❌</v>
      </c>
      <c r="AB101" s="12" t="str">
        <f t="shared" ca="1" si="19"/>
        <v>✔</v>
      </c>
      <c r="AC101" s="12" t="str">
        <f t="shared" ca="1" si="19"/>
        <v>❌</v>
      </c>
      <c r="AD101" s="12" t="str">
        <f t="shared" ca="1" si="19"/>
        <v>❌</v>
      </c>
      <c r="AE101" s="12" t="str">
        <f t="shared" ca="1" si="19"/>
        <v>✔</v>
      </c>
      <c r="AF101" s="12" t="str">
        <f t="shared" ca="1" si="19"/>
        <v>✔</v>
      </c>
      <c r="AG101" s="12" t="str">
        <f t="shared" ca="1" si="19"/>
        <v xml:space="preserve"> L</v>
      </c>
      <c r="AH101" s="9">
        <f t="shared" ca="1" si="13"/>
        <v>13</v>
      </c>
      <c r="AI101" s="9">
        <f t="shared" ca="1" si="14"/>
        <v>7</v>
      </c>
      <c r="AJ101" s="9">
        <f t="shared" ca="1" si="15"/>
        <v>11</v>
      </c>
    </row>
    <row r="102" spans="1:36">
      <c r="A102" s="9" t="s">
        <v>411</v>
      </c>
      <c r="B102" s="9" t="str">
        <f>VLOOKUP(A102, Master_Roster!A$2:B$102, 2, FALSE)</f>
        <v>Miles Hamilton</v>
      </c>
      <c r="C102" s="12" t="str">
        <f t="shared" ca="1" si="12"/>
        <v>❌</v>
      </c>
      <c r="D102" s="12" t="str">
        <f t="shared" ca="1" si="19"/>
        <v>❌</v>
      </c>
      <c r="E102" s="12" t="str">
        <f t="shared" ca="1" si="19"/>
        <v>❌</v>
      </c>
      <c r="F102" s="12" t="str">
        <f t="shared" ca="1" si="19"/>
        <v>✔</v>
      </c>
      <c r="G102" s="12" t="str">
        <f t="shared" ca="1" si="19"/>
        <v>❌</v>
      </c>
      <c r="H102" s="12" t="str">
        <f t="shared" ca="1" si="19"/>
        <v>✔</v>
      </c>
      <c r="I102" s="12" t="str">
        <f t="shared" ca="1" si="19"/>
        <v xml:space="preserve"> L</v>
      </c>
      <c r="J102" s="12" t="str">
        <f t="shared" ca="1" si="19"/>
        <v>✔</v>
      </c>
      <c r="K102" s="12" t="str">
        <f t="shared" ca="1" si="19"/>
        <v>✔</v>
      </c>
      <c r="L102" s="12" t="str">
        <f t="shared" ca="1" si="19"/>
        <v>❌</v>
      </c>
      <c r="M102" s="12" t="str">
        <f t="shared" ca="1" si="19"/>
        <v xml:space="preserve"> L</v>
      </c>
      <c r="N102" s="12" t="str">
        <f t="shared" ca="1" si="19"/>
        <v>✔</v>
      </c>
      <c r="O102" s="12" t="str">
        <f t="shared" ca="1" si="19"/>
        <v>❌</v>
      </c>
      <c r="P102" s="12" t="str">
        <f t="shared" ca="1" si="19"/>
        <v>✔</v>
      </c>
      <c r="Q102" s="12" t="str">
        <f t="shared" ca="1" si="19"/>
        <v>❌</v>
      </c>
      <c r="R102" s="12" t="str">
        <f t="shared" ca="1" si="19"/>
        <v>✔</v>
      </c>
      <c r="S102" s="12" t="str">
        <f t="shared" ca="1" si="19"/>
        <v>✔</v>
      </c>
      <c r="T102" s="12" t="str">
        <f t="shared" ca="1" si="19"/>
        <v>❌</v>
      </c>
      <c r="U102" s="12" t="str">
        <f t="shared" ca="1" si="19"/>
        <v>❌</v>
      </c>
      <c r="V102" s="12" t="str">
        <f t="shared" ca="1" si="19"/>
        <v xml:space="preserve"> L</v>
      </c>
      <c r="W102" s="12" t="str">
        <f t="shared" ca="1" si="19"/>
        <v xml:space="preserve"> L</v>
      </c>
      <c r="X102" s="12" t="str">
        <f t="shared" ca="1" si="19"/>
        <v>❌</v>
      </c>
      <c r="Y102" s="12" t="str">
        <f t="shared" ca="1" si="19"/>
        <v>✔</v>
      </c>
      <c r="Z102" s="12" t="str">
        <f t="shared" ca="1" si="19"/>
        <v xml:space="preserve"> L</v>
      </c>
      <c r="AA102" s="12" t="str">
        <f t="shared" ca="1" si="19"/>
        <v>✔</v>
      </c>
      <c r="AB102" s="12" t="str">
        <f t="shared" ca="1" si="19"/>
        <v>❌</v>
      </c>
      <c r="AC102" s="12" t="str">
        <f t="shared" ca="1" si="19"/>
        <v>❌</v>
      </c>
      <c r="AD102" s="12" t="str">
        <f t="shared" ca="1" si="19"/>
        <v>❌</v>
      </c>
      <c r="AE102" s="12" t="str">
        <f t="shared" ca="1" si="19"/>
        <v>✔</v>
      </c>
      <c r="AF102" s="12" t="str">
        <f t="shared" ca="1" si="19"/>
        <v>❌</v>
      </c>
      <c r="AG102" s="12" t="str">
        <f t="shared" ca="1" si="19"/>
        <v>✔</v>
      </c>
      <c r="AH102" s="9">
        <f t="shared" ca="1" si="13"/>
        <v>12</v>
      </c>
      <c r="AI102" s="9">
        <f t="shared" ca="1" si="14"/>
        <v>14</v>
      </c>
      <c r="AJ102" s="9">
        <f t="shared" ca="1" si="15"/>
        <v>5</v>
      </c>
    </row>
    <row r="103" spans="1:36">
      <c r="A103" s="9" t="s">
        <v>414</v>
      </c>
      <c r="B103" s="9" t="str">
        <f>VLOOKUP(A103, Master_Roster!A$2:B$102, 2, FALSE)</f>
        <v>Alice Graham</v>
      </c>
      <c r="C103" s="12" t="str">
        <f t="shared" ca="1" si="12"/>
        <v>❌</v>
      </c>
      <c r="D103" s="12" t="str">
        <f t="shared" ca="1" si="19"/>
        <v xml:space="preserve"> L</v>
      </c>
      <c r="E103" s="12" t="str">
        <f t="shared" ca="1" si="19"/>
        <v>❌</v>
      </c>
      <c r="F103" s="12" t="str">
        <f t="shared" ca="1" si="19"/>
        <v xml:space="preserve"> L</v>
      </c>
      <c r="G103" s="12" t="str">
        <f t="shared" ca="1" si="19"/>
        <v>❌</v>
      </c>
      <c r="H103" s="12" t="str">
        <f t="shared" ca="1" si="19"/>
        <v>✔</v>
      </c>
      <c r="I103" s="12" t="str">
        <f t="shared" ca="1" si="19"/>
        <v xml:space="preserve"> L</v>
      </c>
      <c r="J103" s="12" t="str">
        <f t="shared" ca="1" si="19"/>
        <v xml:space="preserve"> L</v>
      </c>
      <c r="K103" s="12" t="str">
        <f t="shared" ca="1" si="19"/>
        <v xml:space="preserve"> L</v>
      </c>
      <c r="L103" s="12" t="str">
        <f t="shared" ca="1" si="19"/>
        <v>❌</v>
      </c>
      <c r="M103" s="12" t="str">
        <f t="shared" ca="1" si="19"/>
        <v>❌</v>
      </c>
      <c r="N103" s="12" t="str">
        <f t="shared" ca="1" si="19"/>
        <v>❌</v>
      </c>
      <c r="O103" s="12" t="str">
        <f t="shared" ca="1" si="19"/>
        <v>✔</v>
      </c>
      <c r="P103" s="12" t="str">
        <f t="shared" ca="1" si="19"/>
        <v xml:space="preserve"> L</v>
      </c>
      <c r="Q103" s="12" t="str">
        <f t="shared" ca="1" si="19"/>
        <v>✔</v>
      </c>
      <c r="R103" s="12" t="str">
        <f t="shared" ca="1" si="19"/>
        <v>✔</v>
      </c>
      <c r="S103" s="12" t="str">
        <f t="shared" ca="1" si="19"/>
        <v>❌</v>
      </c>
      <c r="T103" s="12" t="str">
        <f t="shared" ca="1" si="19"/>
        <v>✔</v>
      </c>
      <c r="U103" s="12" t="str">
        <f t="shared" ca="1" si="19"/>
        <v>❌</v>
      </c>
      <c r="V103" s="12" t="str">
        <f t="shared" ca="1" si="19"/>
        <v xml:space="preserve"> L</v>
      </c>
      <c r="W103" s="12" t="str">
        <f t="shared" ca="1" si="19"/>
        <v>✔</v>
      </c>
      <c r="X103" s="12" t="str">
        <f t="shared" ca="1" si="19"/>
        <v>✔</v>
      </c>
      <c r="Y103" s="12" t="str">
        <f t="shared" ca="1" si="19"/>
        <v xml:space="preserve"> L</v>
      </c>
      <c r="Z103" s="12" t="str">
        <f t="shared" ca="1" si="19"/>
        <v>✔</v>
      </c>
      <c r="AA103" s="12" t="str">
        <f t="shared" ca="1" si="19"/>
        <v xml:space="preserve"> L</v>
      </c>
      <c r="AB103" s="12" t="str">
        <f t="shared" ca="1" si="19"/>
        <v>✔</v>
      </c>
      <c r="AC103" s="12" t="str">
        <f t="shared" ca="1" si="19"/>
        <v>❌</v>
      </c>
      <c r="AD103" s="12" t="str">
        <f t="shared" ca="1" si="19"/>
        <v xml:space="preserve"> L</v>
      </c>
      <c r="AE103" s="12" t="str">
        <f t="shared" ca="1" si="19"/>
        <v xml:space="preserve"> L</v>
      </c>
      <c r="AF103" s="12" t="str">
        <f t="shared" ca="1" si="19"/>
        <v xml:space="preserve"> L</v>
      </c>
      <c r="AG103" s="12" t="str">
        <f t="shared" ca="1" si="19"/>
        <v>❌</v>
      </c>
      <c r="AH103" s="9">
        <f t="shared" ca="1" si="13"/>
        <v>9</v>
      </c>
      <c r="AI103" s="9">
        <f t="shared" ca="1" si="14"/>
        <v>10</v>
      </c>
      <c r="AJ103" s="9">
        <f t="shared" ca="1" si="15"/>
        <v>12</v>
      </c>
    </row>
    <row r="145" spans="37:39">
      <c r="AK145" s="8" t="s">
        <v>444</v>
      </c>
      <c r="AL145" s="8" t="s">
        <v>445</v>
      </c>
      <c r="AM145" s="8" t="s">
        <v>446</v>
      </c>
    </row>
    <row r="146" spans="37:39">
      <c r="AK146" s="8" t="s">
        <v>449</v>
      </c>
      <c r="AL146" s="8" t="s">
        <v>448</v>
      </c>
      <c r="AM146" s="8" t="s">
        <v>447</v>
      </c>
    </row>
  </sheetData>
  <mergeCells count="1">
    <mergeCell ref="A1:AJ1"/>
  </mergeCells>
  <phoneticPr fontId="4" type="noConversion"/>
  <dataValidations count="1">
    <dataValidation type="list" allowBlank="1" showInputMessage="1" showErrorMessage="1" sqref="C4:AG103" xr:uid="{9E0146F0-B329-4F0C-B056-CA01955D988E}">
      <formula1>$AK$145:$AM$145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F139-E3B7-4F77-8C8E-C705A9ABE9E6}">
  <dimension ref="A1:J103"/>
  <sheetViews>
    <sheetView zoomScale="95" workbookViewId="0">
      <selection activeCell="J10" sqref="J10"/>
    </sheetView>
  </sheetViews>
  <sheetFormatPr defaultRowHeight="14.4"/>
  <cols>
    <col min="1" max="1" width="15.109375" bestFit="1" customWidth="1"/>
    <col min="2" max="2" width="17.88671875" bestFit="1" customWidth="1"/>
    <col min="3" max="3" width="14" bestFit="1" customWidth="1"/>
    <col min="4" max="4" width="20.88671875" bestFit="1" customWidth="1"/>
    <col min="5" max="5" width="14" style="25" bestFit="1" customWidth="1"/>
    <col min="6" max="6" width="15.6640625" bestFit="1" customWidth="1"/>
    <col min="7" max="7" width="15.88671875" style="23" bestFit="1" customWidth="1"/>
    <col min="8" max="8" width="17.77734375" style="23" bestFit="1" customWidth="1"/>
    <col min="9" max="9" width="18.33203125" style="25" bestFit="1" customWidth="1"/>
    <col min="10" max="10" width="21.33203125" style="23" bestFit="1" customWidth="1"/>
  </cols>
  <sheetData>
    <row r="1" spans="1:10">
      <c r="A1" s="2" t="s">
        <v>419</v>
      </c>
      <c r="B1" s="2"/>
      <c r="C1" s="2"/>
      <c r="D1" s="2"/>
      <c r="E1" s="2"/>
      <c r="F1" s="2"/>
      <c r="G1" s="2"/>
      <c r="H1" s="2"/>
      <c r="I1" s="2"/>
      <c r="J1" s="2"/>
    </row>
    <row r="3" spans="1:10" ht="18">
      <c r="A3" s="21" t="s">
        <v>0</v>
      </c>
      <c r="B3" s="21" t="s">
        <v>1</v>
      </c>
      <c r="C3" s="21" t="s">
        <v>2</v>
      </c>
      <c r="D3" s="21" t="s">
        <v>4</v>
      </c>
      <c r="E3" s="24" t="s">
        <v>420</v>
      </c>
      <c r="F3" s="21" t="s">
        <v>421</v>
      </c>
      <c r="G3" s="22" t="s">
        <v>422</v>
      </c>
      <c r="H3" s="22" t="s">
        <v>423</v>
      </c>
      <c r="I3" s="24" t="s">
        <v>424</v>
      </c>
      <c r="J3" s="22" t="s">
        <v>425</v>
      </c>
    </row>
    <row r="4" spans="1:10">
      <c r="A4" t="str">
        <f>Master_Roster!A2</f>
        <v>EMP-1001</v>
      </c>
      <c r="B4" t="str">
        <f>VLOOKUP(A4, Master_Roster!A$2:B$101, 2, FALSE)</f>
        <v>Alexander Wright</v>
      </c>
      <c r="C4" t="str">
        <f>VLOOKUP(A4, Master_Roster!A$2:C$101, 3, FALSE)</f>
        <v>Engineering</v>
      </c>
      <c r="D4" t="str">
        <f>VLOOKUP(A4, Master_Roster!A$2:E$101, 5, FALSE)</f>
        <v>Full-Time</v>
      </c>
      <c r="E4" s="25">
        <f>VLOOKUP(A4, Master_Roster!A$2:F$101, 6, FALSE)</f>
        <v>8500</v>
      </c>
      <c r="F4">
        <f ca="1">VLOOKUP(A4, Matrix_Attendance_Tracker!A$4:AJ$103, 34, FALSE)</f>
        <v>9</v>
      </c>
      <c r="G4" s="23">
        <f ca="1">IF(D4="Full-Time", F4 * 25, F4 * 40)</f>
        <v>225</v>
      </c>
      <c r="H4" s="23">
        <f ca="1">IF(D4="Full-Time", ROUND((E4/26)*F4 + G4, 2), ROUND(F4 * 160 + G4, 2))</f>
        <v>3167.31</v>
      </c>
      <c r="I4" s="25">
        <f ca="1">ROUND(H4 * VLOOKUP(A4, Master_Roster!A$2:H$101, 8, FALSE), 2)</f>
        <v>696.81</v>
      </c>
      <c r="J4" s="23">
        <f ca="1">ROUND(H4 - I4, 2)</f>
        <v>2470.5</v>
      </c>
    </row>
    <row r="5" spans="1:10">
      <c r="A5" t="str">
        <f>Master_Roster!A3</f>
        <v>EMP-1002</v>
      </c>
      <c r="B5" t="str">
        <f>VLOOKUP(A5, Master_Roster!A$2:B$101, 2, FALSE)</f>
        <v>Sophia Martinez</v>
      </c>
      <c r="C5" t="str">
        <f>VLOOKUP(A5, Master_Roster!A$2:C$101, 3, FALSE)</f>
        <v>Data Analytics</v>
      </c>
      <c r="D5" t="str">
        <f>VLOOKUP(A5, Master_Roster!A$2:E$101, 5, FALSE)</f>
        <v>Full-Time</v>
      </c>
      <c r="E5" s="25">
        <f>VLOOKUP(A5, Master_Roster!A$2:F$101, 6, FALSE)</f>
        <v>6800</v>
      </c>
      <c r="F5">
        <f ca="1">VLOOKUP(A5, Matrix_Attendance_Tracker!A$4:AJ$103, 34, FALSE)</f>
        <v>10</v>
      </c>
      <c r="G5" s="23">
        <f t="shared" ref="G5:G68" ca="1" si="0">IF(D5="Full-Time", F5 * 25, F5 * 40)</f>
        <v>250</v>
      </c>
      <c r="H5" s="23">
        <f t="shared" ref="H5:H68" ca="1" si="1">IF(D5="Full-Time", ROUND((E5/26)*F5 + G5, 2), ROUND(F5 * 160 + G5, 2))</f>
        <v>2865.38</v>
      </c>
      <c r="I5" s="25">
        <f ca="1">ROUND(H5 * VLOOKUP(A5, Master_Roster!A$2:H$101, 8, FALSE), 2)</f>
        <v>515.77</v>
      </c>
      <c r="J5" s="23">
        <f t="shared" ref="J5:J68" ca="1" si="2">ROUND(H5 - I5, 2)</f>
        <v>2349.61</v>
      </c>
    </row>
    <row r="6" spans="1:10">
      <c r="A6" t="str">
        <f>Master_Roster!A4</f>
        <v>EMP-1003</v>
      </c>
      <c r="B6" t="str">
        <f>VLOOKUP(A6, Master_Roster!A$2:B$101, 2, FALSE)</f>
        <v>Liam Johnson</v>
      </c>
      <c r="C6" t="str">
        <f>VLOOKUP(A6, Master_Roster!A$2:C$101, 3, FALSE)</f>
        <v>HR</v>
      </c>
      <c r="D6" t="str">
        <f>VLOOKUP(A6, Master_Roster!A$2:E$101, 5, FALSE)</f>
        <v>Full-Time</v>
      </c>
      <c r="E6" s="25">
        <f>VLOOKUP(A6, Master_Roster!A$2:F$101, 6, FALSE)</f>
        <v>5200</v>
      </c>
      <c r="F6">
        <f ca="1">VLOOKUP(A6, Matrix_Attendance_Tracker!A$4:AJ$103, 34, FALSE)</f>
        <v>10</v>
      </c>
      <c r="G6" s="23">
        <f t="shared" ca="1" si="0"/>
        <v>250</v>
      </c>
      <c r="H6" s="23">
        <f t="shared" ca="1" si="1"/>
        <v>2250</v>
      </c>
      <c r="I6" s="25">
        <f ca="1">ROUND(H6 * VLOOKUP(A6, Master_Roster!A$2:H$101, 8, FALSE), 2)</f>
        <v>337.5</v>
      </c>
      <c r="J6" s="23">
        <f t="shared" ca="1" si="2"/>
        <v>1912.5</v>
      </c>
    </row>
    <row r="7" spans="1:10">
      <c r="A7" t="str">
        <f>Master_Roster!A5</f>
        <v>EMP-1004</v>
      </c>
      <c r="B7" t="str">
        <f>VLOOKUP(A7, Master_Roster!A$2:B$101, 2, FALSE)</f>
        <v>Olivia Smith</v>
      </c>
      <c r="C7" t="str">
        <f>VLOOKUP(A7, Master_Roster!A$2:C$101, 3, FALSE)</f>
        <v>Finance</v>
      </c>
      <c r="D7" t="str">
        <f>VLOOKUP(A7, Master_Roster!A$2:E$101, 5, FALSE)</f>
        <v>Full-Time</v>
      </c>
      <c r="E7" s="25">
        <f>VLOOKUP(A7, Master_Roster!A$2:F$101, 6, FALSE)</f>
        <v>9100</v>
      </c>
      <c r="F7">
        <f ca="1">VLOOKUP(A7, Matrix_Attendance_Tracker!A$4:AJ$103, 34, FALSE)</f>
        <v>15</v>
      </c>
      <c r="G7" s="23">
        <f t="shared" ca="1" si="0"/>
        <v>375</v>
      </c>
      <c r="H7" s="23">
        <f t="shared" ca="1" si="1"/>
        <v>5625</v>
      </c>
      <c r="I7" s="25">
        <f ca="1">ROUND(H7 * VLOOKUP(A7, Master_Roster!A$2:H$101, 8, FALSE), 2)</f>
        <v>1406.25</v>
      </c>
      <c r="J7" s="23">
        <f t="shared" ca="1" si="2"/>
        <v>4218.75</v>
      </c>
    </row>
    <row r="8" spans="1:10">
      <c r="A8" t="str">
        <f>Master_Roster!A6</f>
        <v>EMP-1005</v>
      </c>
      <c r="B8" t="str">
        <f>VLOOKUP(A8, Master_Roster!A$2:B$101, 2, FALSE)</f>
        <v>Noah Williams</v>
      </c>
      <c r="C8" t="str">
        <f>VLOOKUP(A8, Master_Roster!A$2:C$101, 3, FALSE)</f>
        <v>Marketing</v>
      </c>
      <c r="D8" t="str">
        <f>VLOOKUP(A8, Master_Roster!A$2:E$101, 5, FALSE)</f>
        <v>Full-Time</v>
      </c>
      <c r="E8" s="25">
        <f>VLOOKUP(A8, Master_Roster!A$2:F$101, 6, FALSE)</f>
        <v>6100</v>
      </c>
      <c r="F8">
        <f ca="1">VLOOKUP(A8, Matrix_Attendance_Tracker!A$4:AJ$103, 34, FALSE)</f>
        <v>12</v>
      </c>
      <c r="G8" s="23">
        <f t="shared" ca="1" si="0"/>
        <v>300</v>
      </c>
      <c r="H8" s="23">
        <f t="shared" ca="1" si="1"/>
        <v>3115.38</v>
      </c>
      <c r="I8" s="25">
        <f ca="1">ROUND(H8 * VLOOKUP(A8, Master_Roster!A$2:H$101, 8, FALSE), 2)</f>
        <v>560.77</v>
      </c>
      <c r="J8" s="23">
        <f t="shared" ca="1" si="2"/>
        <v>2554.61</v>
      </c>
    </row>
    <row r="9" spans="1:10">
      <c r="A9" t="str">
        <f>Master_Roster!A7</f>
        <v>EMP-1006</v>
      </c>
      <c r="B9" t="str">
        <f>VLOOKUP(A9, Master_Roster!A$2:B$101, 2, FALSE)</f>
        <v>Emma Brown</v>
      </c>
      <c r="C9" t="str">
        <f>VLOOKUP(A9, Master_Roster!A$2:C$101, 3, FALSE)</f>
        <v>Sales</v>
      </c>
      <c r="D9" t="str">
        <f>VLOOKUP(A9, Master_Roster!A$2:E$101, 5, FALSE)</f>
        <v>Full-Time</v>
      </c>
      <c r="E9" s="25">
        <f>VLOOKUP(A9, Master_Roster!A$2:F$101, 6, FALSE)</f>
        <v>7500</v>
      </c>
      <c r="F9">
        <f ca="1">VLOOKUP(A9, Matrix_Attendance_Tracker!A$4:AJ$103, 34, FALSE)</f>
        <v>9</v>
      </c>
      <c r="G9" s="23">
        <f t="shared" ca="1" si="0"/>
        <v>225</v>
      </c>
      <c r="H9" s="23">
        <f t="shared" ca="1" si="1"/>
        <v>2821.15</v>
      </c>
      <c r="I9" s="25">
        <f ca="1">ROUND(H9 * VLOOKUP(A9, Master_Roster!A$2:H$101, 8, FALSE), 2)</f>
        <v>564.23</v>
      </c>
      <c r="J9" s="23">
        <f t="shared" ca="1" si="2"/>
        <v>2256.92</v>
      </c>
    </row>
    <row r="10" spans="1:10">
      <c r="A10" t="str">
        <f>Master_Roster!A8</f>
        <v>EMP-1007</v>
      </c>
      <c r="B10" t="str">
        <f>VLOOKUP(A10, Master_Roster!A$2:B$101, 2, FALSE)</f>
        <v>James Jones</v>
      </c>
      <c r="C10" t="str">
        <f>VLOOKUP(A10, Master_Roster!A$2:C$101, 3, FALSE)</f>
        <v>Operations</v>
      </c>
      <c r="D10" t="str">
        <f>VLOOKUP(A10, Master_Roster!A$2:E$101, 5, FALSE)</f>
        <v>Full-Time</v>
      </c>
      <c r="E10" s="25">
        <f>VLOOKUP(A10, Master_Roster!A$2:F$101, 6, FALSE)</f>
        <v>7800</v>
      </c>
      <c r="F10">
        <f ca="1">VLOOKUP(A10, Matrix_Attendance_Tracker!A$4:AJ$103, 34, FALSE)</f>
        <v>10</v>
      </c>
      <c r="G10" s="23">
        <f t="shared" ca="1" si="0"/>
        <v>250</v>
      </c>
      <c r="H10" s="23">
        <f t="shared" ca="1" si="1"/>
        <v>3250</v>
      </c>
      <c r="I10" s="25">
        <f ca="1">ROUND(H10 * VLOOKUP(A10, Master_Roster!A$2:H$101, 8, FALSE), 2)</f>
        <v>650</v>
      </c>
      <c r="J10" s="23">
        <f t="shared" ca="1" si="2"/>
        <v>2600</v>
      </c>
    </row>
    <row r="11" spans="1:10">
      <c r="A11" t="str">
        <f>Master_Roster!A9</f>
        <v>EMP-1008</v>
      </c>
      <c r="B11" t="str">
        <f>VLOOKUP(A11, Master_Roster!A$2:B$101, 2, FALSE)</f>
        <v>Ava Garcia</v>
      </c>
      <c r="C11" t="str">
        <f>VLOOKUP(A11, Master_Roster!A$2:C$101, 3, FALSE)</f>
        <v>Engineering</v>
      </c>
      <c r="D11" t="str">
        <f>VLOOKUP(A11, Master_Roster!A$2:E$101, 5, FALSE)</f>
        <v>Contract</v>
      </c>
      <c r="E11" s="25">
        <f>VLOOKUP(A11, Master_Roster!A$2:F$101, 6, FALSE)</f>
        <v>0</v>
      </c>
      <c r="F11">
        <f ca="1">VLOOKUP(A11, Matrix_Attendance_Tracker!A$4:AJ$103, 34, FALSE)</f>
        <v>12</v>
      </c>
      <c r="G11" s="23">
        <f t="shared" ca="1" si="0"/>
        <v>480</v>
      </c>
      <c r="H11" s="23">
        <f t="shared" ca="1" si="1"/>
        <v>2400</v>
      </c>
      <c r="I11" s="25">
        <f ca="1">ROUND(H11 * VLOOKUP(A11, Master_Roster!A$2:H$101, 8, FALSE), 2)</f>
        <v>360</v>
      </c>
      <c r="J11" s="23">
        <f t="shared" ca="1" si="2"/>
        <v>2040</v>
      </c>
    </row>
    <row r="12" spans="1:10">
      <c r="A12" t="str">
        <f>Master_Roster!A10</f>
        <v>EMP-1009</v>
      </c>
      <c r="B12" t="str">
        <f>VLOOKUP(A12, Master_Roster!A$2:B$101, 2, FALSE)</f>
        <v>William Miller</v>
      </c>
      <c r="C12" t="str">
        <f>VLOOKUP(A12, Master_Roster!A$2:C$101, 3, FALSE)</f>
        <v>Data Analytics</v>
      </c>
      <c r="D12" t="str">
        <f>VLOOKUP(A12, Master_Roster!A$2:E$101, 5, FALSE)</f>
        <v>Full-Time</v>
      </c>
      <c r="E12" s="25">
        <f>VLOOKUP(A12, Master_Roster!A$2:F$101, 6, FALSE)</f>
        <v>8200</v>
      </c>
      <c r="F12">
        <f ca="1">VLOOKUP(A12, Matrix_Attendance_Tracker!A$4:AJ$103, 34, FALSE)</f>
        <v>12</v>
      </c>
      <c r="G12" s="23">
        <f t="shared" ca="1" si="0"/>
        <v>300</v>
      </c>
      <c r="H12" s="23">
        <f t="shared" ca="1" si="1"/>
        <v>4084.62</v>
      </c>
      <c r="I12" s="25">
        <f ca="1">ROUND(H12 * VLOOKUP(A12, Master_Roster!A$2:H$101, 8, FALSE), 2)</f>
        <v>898.62</v>
      </c>
      <c r="J12" s="23">
        <f t="shared" ca="1" si="2"/>
        <v>3186</v>
      </c>
    </row>
    <row r="13" spans="1:10">
      <c r="A13" t="str">
        <f>Master_Roster!A11</f>
        <v>EMP-1010</v>
      </c>
      <c r="B13" t="str">
        <f>VLOOKUP(A13, Master_Roster!A$2:B$101, 2, FALSE)</f>
        <v>Isabella Davis</v>
      </c>
      <c r="C13" t="str">
        <f>VLOOKUP(A13, Master_Roster!A$2:C$101, 3, FALSE)</f>
        <v>HR</v>
      </c>
      <c r="D13" t="str">
        <f>VLOOKUP(A13, Master_Roster!A$2:E$101, 5, FALSE)</f>
        <v>Full-Time</v>
      </c>
      <c r="E13" s="25">
        <f>VLOOKUP(A13, Master_Roster!A$2:F$101, 6, FALSE)</f>
        <v>5900</v>
      </c>
      <c r="F13">
        <f ca="1">VLOOKUP(A13, Matrix_Attendance_Tracker!A$4:AJ$103, 34, FALSE)</f>
        <v>8</v>
      </c>
      <c r="G13" s="23">
        <f t="shared" ca="1" si="0"/>
        <v>200</v>
      </c>
      <c r="H13" s="23">
        <f t="shared" ca="1" si="1"/>
        <v>2015.38</v>
      </c>
      <c r="I13" s="25">
        <f ca="1">ROUND(H13 * VLOOKUP(A13, Master_Roster!A$2:H$101, 8, FALSE), 2)</f>
        <v>302.31</v>
      </c>
      <c r="J13" s="23">
        <f t="shared" ca="1" si="2"/>
        <v>1713.07</v>
      </c>
    </row>
    <row r="14" spans="1:10">
      <c r="A14" t="str">
        <f>Master_Roster!A12</f>
        <v>EMP-1011</v>
      </c>
      <c r="B14" t="str">
        <f>VLOOKUP(A14, Master_Roster!A$2:B$101, 2, FALSE)</f>
        <v>Logan Rodriguez</v>
      </c>
      <c r="C14" t="str">
        <f>VLOOKUP(A14, Master_Roster!A$2:C$101, 3, FALSE)</f>
        <v>Finance</v>
      </c>
      <c r="D14" t="str">
        <f>VLOOKUP(A14, Master_Roster!A$2:E$101, 5, FALSE)</f>
        <v>Full-Time</v>
      </c>
      <c r="E14" s="25">
        <f>VLOOKUP(A14, Master_Roster!A$2:F$101, 6, FALSE)</f>
        <v>7200</v>
      </c>
      <c r="F14">
        <f ca="1">VLOOKUP(A14, Matrix_Attendance_Tracker!A$4:AJ$103, 34, FALSE)</f>
        <v>11</v>
      </c>
      <c r="G14" s="23">
        <f t="shared" ca="1" si="0"/>
        <v>275</v>
      </c>
      <c r="H14" s="23">
        <f t="shared" ca="1" si="1"/>
        <v>3321.15</v>
      </c>
      <c r="I14" s="25">
        <f ca="1">ROUND(H14 * VLOOKUP(A14, Master_Roster!A$2:H$101, 8, FALSE), 2)</f>
        <v>664.23</v>
      </c>
      <c r="J14" s="23">
        <f t="shared" ca="1" si="2"/>
        <v>2656.92</v>
      </c>
    </row>
    <row r="15" spans="1:10">
      <c r="A15" t="str">
        <f>Master_Roster!A13</f>
        <v>EMP-1012</v>
      </c>
      <c r="B15" t="str">
        <f>VLOOKUP(A15, Master_Roster!A$2:B$101, 2, FALSE)</f>
        <v>Mia Martinez</v>
      </c>
      <c r="C15" t="str">
        <f>VLOOKUP(A15, Master_Roster!A$2:C$101, 3, FALSE)</f>
        <v>Marketing</v>
      </c>
      <c r="D15" t="str">
        <f>VLOOKUP(A15, Master_Roster!A$2:E$101, 5, FALSE)</f>
        <v>Contract</v>
      </c>
      <c r="E15" s="25">
        <f>VLOOKUP(A15, Master_Roster!A$2:F$101, 6, FALSE)</f>
        <v>0</v>
      </c>
      <c r="F15">
        <f ca="1">VLOOKUP(A15, Matrix_Attendance_Tracker!A$4:AJ$103, 34, FALSE)</f>
        <v>6</v>
      </c>
      <c r="G15" s="23">
        <f t="shared" ca="1" si="0"/>
        <v>240</v>
      </c>
      <c r="H15" s="23">
        <f t="shared" ca="1" si="1"/>
        <v>1200</v>
      </c>
      <c r="I15" s="25">
        <f ca="1">ROUND(H15 * VLOOKUP(A15, Master_Roster!A$2:H$101, 8, FALSE), 2)</f>
        <v>144</v>
      </c>
      <c r="J15" s="23">
        <f t="shared" ca="1" si="2"/>
        <v>1056</v>
      </c>
    </row>
    <row r="16" spans="1:10">
      <c r="A16" t="str">
        <f>Master_Roster!A14</f>
        <v>EMP-1013</v>
      </c>
      <c r="B16" t="str">
        <f>VLOOKUP(A16, Master_Roster!A$2:B$101, 2, FALSE)</f>
        <v>Benjamin Hernandez</v>
      </c>
      <c r="C16" t="str">
        <f>VLOOKUP(A16, Master_Roster!A$2:C$101, 3, FALSE)</f>
        <v>Sales</v>
      </c>
      <c r="D16" t="str">
        <f>VLOOKUP(A16, Master_Roster!A$2:E$101, 5, FALSE)</f>
        <v>Full-Time</v>
      </c>
      <c r="E16" s="25">
        <f>VLOOKUP(A16, Master_Roster!A$2:F$101, 6, FALSE)</f>
        <v>4800</v>
      </c>
      <c r="F16">
        <f ca="1">VLOOKUP(A16, Matrix_Attendance_Tracker!A$4:AJ$103, 34, FALSE)</f>
        <v>4</v>
      </c>
      <c r="G16" s="23">
        <f t="shared" ca="1" si="0"/>
        <v>100</v>
      </c>
      <c r="H16" s="23">
        <f t="shared" ca="1" si="1"/>
        <v>838.46</v>
      </c>
      <c r="I16" s="25">
        <f ca="1">ROUND(H16 * VLOOKUP(A16, Master_Roster!A$2:H$101, 8, FALSE), 2)</f>
        <v>100.62</v>
      </c>
      <c r="J16" s="23">
        <f t="shared" ca="1" si="2"/>
        <v>737.84</v>
      </c>
    </row>
    <row r="17" spans="1:10">
      <c r="A17" t="str">
        <f>Master_Roster!A15</f>
        <v>EMP-1014</v>
      </c>
      <c r="B17" t="str">
        <f>VLOOKUP(A17, Master_Roster!A$2:B$101, 2, FALSE)</f>
        <v>Harper Lopez</v>
      </c>
      <c r="C17" t="str">
        <f>VLOOKUP(A17, Master_Roster!A$2:C$101, 3, FALSE)</f>
        <v>Operations</v>
      </c>
      <c r="D17" t="str">
        <f>VLOOKUP(A17, Master_Roster!A$2:E$101, 5, FALSE)</f>
        <v>Full-Time</v>
      </c>
      <c r="E17" s="25">
        <f>VLOOKUP(A17, Master_Roster!A$2:F$101, 6, FALSE)</f>
        <v>5100</v>
      </c>
      <c r="F17">
        <f ca="1">VLOOKUP(A17, Matrix_Attendance_Tracker!A$4:AJ$103, 34, FALSE)</f>
        <v>11</v>
      </c>
      <c r="G17" s="23">
        <f t="shared" ca="1" si="0"/>
        <v>275</v>
      </c>
      <c r="H17" s="23">
        <f t="shared" ca="1" si="1"/>
        <v>2432.69</v>
      </c>
      <c r="I17" s="25">
        <f ca="1">ROUND(H17 * VLOOKUP(A17, Master_Roster!A$2:H$101, 8, FALSE), 2)</f>
        <v>364.9</v>
      </c>
      <c r="J17" s="23">
        <f t="shared" ca="1" si="2"/>
        <v>2067.79</v>
      </c>
    </row>
    <row r="18" spans="1:10">
      <c r="A18" t="str">
        <f>Master_Roster!A16</f>
        <v>EMP-1015</v>
      </c>
      <c r="B18" t="str">
        <f>VLOOKUP(A18, Master_Roster!A$2:B$101, 2, FALSE)</f>
        <v>Elijah Gonzalez</v>
      </c>
      <c r="C18" t="str">
        <f>VLOOKUP(A18, Master_Roster!A$2:C$101, 3, FALSE)</f>
        <v>Engineering</v>
      </c>
      <c r="D18" t="str">
        <f>VLOOKUP(A18, Master_Roster!A$2:E$101, 5, FALSE)</f>
        <v>Full-Time</v>
      </c>
      <c r="E18" s="25">
        <f>VLOOKUP(A18, Master_Roster!A$2:F$101, 6, FALSE)</f>
        <v>8900</v>
      </c>
      <c r="F18">
        <f ca="1">VLOOKUP(A18, Matrix_Attendance_Tracker!A$4:AJ$103, 34, FALSE)</f>
        <v>11</v>
      </c>
      <c r="G18" s="23">
        <f t="shared" ca="1" si="0"/>
        <v>275</v>
      </c>
      <c r="H18" s="23">
        <f t="shared" ca="1" si="1"/>
        <v>4040.38</v>
      </c>
      <c r="I18" s="25">
        <f ca="1">ROUND(H18 * VLOOKUP(A18, Master_Roster!A$2:H$101, 8, FALSE), 2)</f>
        <v>1010.1</v>
      </c>
      <c r="J18" s="23">
        <f t="shared" ca="1" si="2"/>
        <v>3030.28</v>
      </c>
    </row>
    <row r="19" spans="1:10">
      <c r="A19" t="str">
        <f>Master_Roster!A17</f>
        <v>EMP-1016</v>
      </c>
      <c r="B19" t="str">
        <f>VLOOKUP(A19, Master_Roster!A$2:B$101, 2, FALSE)</f>
        <v>Evelyn Wilson</v>
      </c>
      <c r="C19" t="str">
        <f>VLOOKUP(A19, Master_Roster!A$2:C$101, 3, FALSE)</f>
        <v>Data Analytics</v>
      </c>
      <c r="D19" t="str">
        <f>VLOOKUP(A19, Master_Roster!A$2:E$101, 5, FALSE)</f>
        <v>Full-Time</v>
      </c>
      <c r="E19" s="25">
        <f>VLOOKUP(A19, Master_Roster!A$2:F$101, 6, FALSE)</f>
        <v>7100</v>
      </c>
      <c r="F19">
        <f ca="1">VLOOKUP(A19, Matrix_Attendance_Tracker!A$4:AJ$103, 34, FALSE)</f>
        <v>11</v>
      </c>
      <c r="G19" s="23">
        <f t="shared" ca="1" si="0"/>
        <v>275</v>
      </c>
      <c r="H19" s="23">
        <f t="shared" ca="1" si="1"/>
        <v>3278.85</v>
      </c>
      <c r="I19" s="25">
        <f ca="1">ROUND(H19 * VLOOKUP(A19, Master_Roster!A$2:H$101, 8, FALSE), 2)</f>
        <v>590.19000000000005</v>
      </c>
      <c r="J19" s="23">
        <f t="shared" ca="1" si="2"/>
        <v>2688.66</v>
      </c>
    </row>
    <row r="20" spans="1:10">
      <c r="A20" t="str">
        <f>Master_Roster!A18</f>
        <v>EMP-1017</v>
      </c>
      <c r="B20" t="str">
        <f>VLOOKUP(A20, Master_Roster!A$2:B$101, 2, FALSE)</f>
        <v>Lucas Anderson</v>
      </c>
      <c r="C20" t="str">
        <f>VLOOKUP(A20, Master_Roster!A$2:C$101, 3, FALSE)</f>
        <v>HR</v>
      </c>
      <c r="D20" t="str">
        <f>VLOOKUP(A20, Master_Roster!A$2:E$101, 5, FALSE)</f>
        <v>Full-Time</v>
      </c>
      <c r="E20" s="25">
        <f>VLOOKUP(A20, Master_Roster!A$2:F$101, 6, FALSE)</f>
        <v>5300</v>
      </c>
      <c r="F20">
        <f ca="1">VLOOKUP(A20, Matrix_Attendance_Tracker!A$4:AJ$103, 34, FALSE)</f>
        <v>13</v>
      </c>
      <c r="G20" s="23">
        <f t="shared" ca="1" si="0"/>
        <v>325</v>
      </c>
      <c r="H20" s="23">
        <f t="shared" ca="1" si="1"/>
        <v>2975</v>
      </c>
      <c r="I20" s="25">
        <f ca="1">ROUND(H20 * VLOOKUP(A20, Master_Roster!A$2:H$101, 8, FALSE), 2)</f>
        <v>446.25</v>
      </c>
      <c r="J20" s="23">
        <f t="shared" ca="1" si="2"/>
        <v>2528.75</v>
      </c>
    </row>
    <row r="21" spans="1:10">
      <c r="A21" t="str">
        <f>Master_Roster!A19</f>
        <v>EMP-1018</v>
      </c>
      <c r="B21" t="str">
        <f>VLOOKUP(A21, Master_Roster!A$2:B$101, 2, FALSE)</f>
        <v>Abigail Thomas</v>
      </c>
      <c r="C21" t="str">
        <f>VLOOKUP(A21, Master_Roster!A$2:C$101, 3, FALSE)</f>
        <v>Finance</v>
      </c>
      <c r="D21" t="str">
        <f>VLOOKUP(A21, Master_Roster!A$2:E$101, 5, FALSE)</f>
        <v>Full-Time</v>
      </c>
      <c r="E21" s="25">
        <f>VLOOKUP(A21, Master_Roster!A$2:F$101, 6, FALSE)</f>
        <v>7600</v>
      </c>
      <c r="F21">
        <f ca="1">VLOOKUP(A21, Matrix_Attendance_Tracker!A$4:AJ$103, 34, FALSE)</f>
        <v>9</v>
      </c>
      <c r="G21" s="23">
        <f t="shared" ca="1" si="0"/>
        <v>225</v>
      </c>
      <c r="H21" s="23">
        <f t="shared" ca="1" si="1"/>
        <v>2855.77</v>
      </c>
      <c r="I21" s="25">
        <f ca="1">ROUND(H21 * VLOOKUP(A21, Master_Roster!A$2:H$101, 8, FALSE), 2)</f>
        <v>571.15</v>
      </c>
      <c r="J21" s="23">
        <f t="shared" ca="1" si="2"/>
        <v>2284.62</v>
      </c>
    </row>
    <row r="22" spans="1:10">
      <c r="A22" t="str">
        <f>Master_Roster!A20</f>
        <v>EMP-1019</v>
      </c>
      <c r="B22" t="str">
        <f>VLOOKUP(A22, Master_Roster!A$2:B$101, 2, FALSE)</f>
        <v>Mason Taylor</v>
      </c>
      <c r="C22" t="str">
        <f>VLOOKUP(A22, Master_Roster!A$2:C$101, 3, FALSE)</f>
        <v>Marketing</v>
      </c>
      <c r="D22" t="str">
        <f>VLOOKUP(A22, Master_Roster!A$2:E$101, 5, FALSE)</f>
        <v>Contract</v>
      </c>
      <c r="E22" s="25">
        <f>VLOOKUP(A22, Master_Roster!A$2:F$101, 6, FALSE)</f>
        <v>0</v>
      </c>
      <c r="F22">
        <f ca="1">VLOOKUP(A22, Matrix_Attendance_Tracker!A$4:AJ$103, 34, FALSE)</f>
        <v>11</v>
      </c>
      <c r="G22" s="23">
        <f t="shared" ca="1" si="0"/>
        <v>440</v>
      </c>
      <c r="H22" s="23">
        <f t="shared" ca="1" si="1"/>
        <v>2200</v>
      </c>
      <c r="I22" s="25">
        <f ca="1">ROUND(H22 * VLOOKUP(A22, Master_Roster!A$2:H$101, 8, FALSE), 2)</f>
        <v>330</v>
      </c>
      <c r="J22" s="23">
        <f t="shared" ca="1" si="2"/>
        <v>1870</v>
      </c>
    </row>
    <row r="23" spans="1:10">
      <c r="A23" t="str">
        <f>Master_Roster!A21</f>
        <v>EMP-1020</v>
      </c>
      <c r="B23" t="str">
        <f>VLOOKUP(A23, Master_Roster!A$2:B$101, 2, FALSE)</f>
        <v>Emily Moore</v>
      </c>
      <c r="C23" t="str">
        <f>VLOOKUP(A23, Master_Roster!A$2:C$101, 3, FALSE)</f>
        <v>Sales</v>
      </c>
      <c r="D23" t="str">
        <f>VLOOKUP(A23, Master_Roster!A$2:E$101, 5, FALSE)</f>
        <v>Full-Time</v>
      </c>
      <c r="E23" s="25">
        <f>VLOOKUP(A23, Master_Roster!A$2:F$101, 6, FALSE)</f>
        <v>9500</v>
      </c>
      <c r="F23">
        <f ca="1">VLOOKUP(A23, Matrix_Attendance_Tracker!A$4:AJ$103, 34, FALSE)</f>
        <v>7</v>
      </c>
      <c r="G23" s="23">
        <f t="shared" ca="1" si="0"/>
        <v>175</v>
      </c>
      <c r="H23" s="23">
        <f t="shared" ca="1" si="1"/>
        <v>2732.69</v>
      </c>
      <c r="I23" s="25">
        <f ca="1">ROUND(H23 * VLOOKUP(A23, Master_Roster!A$2:H$101, 8, FALSE), 2)</f>
        <v>683.17</v>
      </c>
      <c r="J23" s="23">
        <f t="shared" ca="1" si="2"/>
        <v>2049.52</v>
      </c>
    </row>
    <row r="24" spans="1:10">
      <c r="A24" t="str">
        <f>Master_Roster!A22</f>
        <v>EMP-1021</v>
      </c>
      <c r="B24" t="str">
        <f>VLOOKUP(A24, Master_Roster!A$2:B$101, 2, FALSE)</f>
        <v>Ethan Jackson</v>
      </c>
      <c r="C24" t="str">
        <f>VLOOKUP(A24, Master_Roster!A$2:C$101, 3, FALSE)</f>
        <v>Operations</v>
      </c>
      <c r="D24" t="str">
        <f>VLOOKUP(A24, Master_Roster!A$2:E$101, 5, FALSE)</f>
        <v>Full-Time</v>
      </c>
      <c r="E24" s="25">
        <f>VLOOKUP(A24, Master_Roster!A$2:F$101, 6, FALSE)</f>
        <v>6400</v>
      </c>
      <c r="F24">
        <f ca="1">VLOOKUP(A24, Matrix_Attendance_Tracker!A$4:AJ$103, 34, FALSE)</f>
        <v>9</v>
      </c>
      <c r="G24" s="23">
        <f t="shared" ca="1" si="0"/>
        <v>225</v>
      </c>
      <c r="H24" s="23">
        <f t="shared" ca="1" si="1"/>
        <v>2440.38</v>
      </c>
      <c r="I24" s="25">
        <f ca="1">ROUND(H24 * VLOOKUP(A24, Master_Roster!A$2:H$101, 8, FALSE), 2)</f>
        <v>439.27</v>
      </c>
      <c r="J24" s="23">
        <f t="shared" ca="1" si="2"/>
        <v>2001.11</v>
      </c>
    </row>
    <row r="25" spans="1:10">
      <c r="A25" t="str">
        <f>Master_Roster!A23</f>
        <v>EMP-1022</v>
      </c>
      <c r="B25" t="str">
        <f>VLOOKUP(A25, Master_Roster!A$2:B$101, 2, FALSE)</f>
        <v>Elizabeth Martin</v>
      </c>
      <c r="C25" t="str">
        <f>VLOOKUP(A25, Master_Roster!A$2:C$101, 3, FALSE)</f>
        <v>Engineering</v>
      </c>
      <c r="D25" t="str">
        <f>VLOOKUP(A25, Master_Roster!A$2:E$101, 5, FALSE)</f>
        <v>Full-Time</v>
      </c>
      <c r="E25" s="25">
        <f>VLOOKUP(A25, Master_Roster!A$2:F$101, 6, FALSE)</f>
        <v>8100</v>
      </c>
      <c r="F25">
        <f ca="1">VLOOKUP(A25, Matrix_Attendance_Tracker!A$4:AJ$103, 34, FALSE)</f>
        <v>8</v>
      </c>
      <c r="G25" s="23">
        <f t="shared" ca="1" si="0"/>
        <v>200</v>
      </c>
      <c r="H25" s="23">
        <f t="shared" ca="1" si="1"/>
        <v>2692.31</v>
      </c>
      <c r="I25" s="25">
        <f ca="1">ROUND(H25 * VLOOKUP(A25, Master_Roster!A$2:H$101, 8, FALSE), 2)</f>
        <v>592.30999999999995</v>
      </c>
      <c r="J25" s="23">
        <f t="shared" ca="1" si="2"/>
        <v>2100</v>
      </c>
    </row>
    <row r="26" spans="1:10">
      <c r="A26" t="str">
        <f>Master_Roster!A24</f>
        <v>EMP-1023</v>
      </c>
      <c r="B26" t="str">
        <f>VLOOKUP(A26, Master_Roster!A$2:B$101, 2, FALSE)</f>
        <v>Jacob Lee</v>
      </c>
      <c r="C26" t="str">
        <f>VLOOKUP(A26, Master_Roster!A$2:C$101, 3, FALSE)</f>
        <v>Data Analytics</v>
      </c>
      <c r="D26" t="str">
        <f>VLOOKUP(A26, Master_Roster!A$2:E$101, 5, FALSE)</f>
        <v>Full-Time</v>
      </c>
      <c r="E26" s="25">
        <f>VLOOKUP(A26, Master_Roster!A$2:F$101, 6, FALSE)</f>
        <v>9400</v>
      </c>
      <c r="F26">
        <f ca="1">VLOOKUP(A26, Matrix_Attendance_Tracker!A$4:AJ$103, 34, FALSE)</f>
        <v>13</v>
      </c>
      <c r="G26" s="23">
        <f t="shared" ca="1" si="0"/>
        <v>325</v>
      </c>
      <c r="H26" s="23">
        <f t="shared" ca="1" si="1"/>
        <v>5025</v>
      </c>
      <c r="I26" s="25">
        <f ca="1">ROUND(H26 * VLOOKUP(A26, Master_Roster!A$2:H$101, 8, FALSE), 2)</f>
        <v>1256.25</v>
      </c>
      <c r="J26" s="23">
        <f t="shared" ca="1" si="2"/>
        <v>3768.75</v>
      </c>
    </row>
    <row r="27" spans="1:10">
      <c r="A27" t="str">
        <f>Master_Roster!A25</f>
        <v>EMP-1024</v>
      </c>
      <c r="B27" t="str">
        <f>VLOOKUP(A27, Master_Roster!A$2:B$101, 2, FALSE)</f>
        <v>Mila Perez</v>
      </c>
      <c r="C27" t="str">
        <f>VLOOKUP(A27, Master_Roster!A$2:C$101, 3, FALSE)</f>
        <v>HR</v>
      </c>
      <c r="D27" t="str">
        <f>VLOOKUP(A27, Master_Roster!A$2:E$101, 5, FALSE)</f>
        <v>Full-Time</v>
      </c>
      <c r="E27" s="25">
        <f>VLOOKUP(A27, Master_Roster!A$2:F$101, 6, FALSE)</f>
        <v>7900</v>
      </c>
      <c r="F27">
        <f ca="1">VLOOKUP(A27, Matrix_Attendance_Tracker!A$4:AJ$103, 34, FALSE)</f>
        <v>6</v>
      </c>
      <c r="G27" s="23">
        <f t="shared" ca="1" si="0"/>
        <v>150</v>
      </c>
      <c r="H27" s="23">
        <f t="shared" ca="1" si="1"/>
        <v>1973.08</v>
      </c>
      <c r="I27" s="25">
        <f ca="1">ROUND(H27 * VLOOKUP(A27, Master_Roster!A$2:H$101, 8, FALSE), 2)</f>
        <v>394.62</v>
      </c>
      <c r="J27" s="23">
        <f t="shared" ca="1" si="2"/>
        <v>1578.46</v>
      </c>
    </row>
    <row r="28" spans="1:10">
      <c r="A28" t="str">
        <f>Master_Roster!A26</f>
        <v>EMP-1025</v>
      </c>
      <c r="B28" t="str">
        <f>VLOOKUP(A28, Master_Roster!A$2:B$101, 2, FALSE)</f>
        <v>Michael Thompson</v>
      </c>
      <c r="C28" t="str">
        <f>VLOOKUP(A28, Master_Roster!A$2:C$101, 3, FALSE)</f>
        <v>Finance</v>
      </c>
      <c r="D28" t="str">
        <f>VLOOKUP(A28, Master_Roster!A$2:E$101, 5, FALSE)</f>
        <v>Full-Time</v>
      </c>
      <c r="E28" s="25">
        <f>VLOOKUP(A28, Master_Roster!A$2:F$101, 6, FALSE)</f>
        <v>4900</v>
      </c>
      <c r="F28">
        <f ca="1">VLOOKUP(A28, Matrix_Attendance_Tracker!A$4:AJ$103, 34, FALSE)</f>
        <v>14</v>
      </c>
      <c r="G28" s="23">
        <f t="shared" ca="1" si="0"/>
        <v>350</v>
      </c>
      <c r="H28" s="23">
        <f t="shared" ca="1" si="1"/>
        <v>2988.46</v>
      </c>
      <c r="I28" s="25">
        <f ca="1">ROUND(H28 * VLOOKUP(A28, Master_Roster!A$2:H$101, 8, FALSE), 2)</f>
        <v>358.62</v>
      </c>
      <c r="J28" s="23">
        <f t="shared" ca="1" si="2"/>
        <v>2629.84</v>
      </c>
    </row>
    <row r="29" spans="1:10">
      <c r="A29" t="str">
        <f>Master_Roster!A27</f>
        <v>EMP-1026</v>
      </c>
      <c r="B29" t="str">
        <f>VLOOKUP(A29, Master_Roster!A$2:B$101, 2, FALSE)</f>
        <v>Ella White</v>
      </c>
      <c r="C29" t="str">
        <f>VLOOKUP(A29, Master_Roster!A$2:C$101, 3, FALSE)</f>
        <v>Marketing</v>
      </c>
      <c r="D29" t="str">
        <f>VLOOKUP(A29, Master_Roster!A$2:E$101, 5, FALSE)</f>
        <v>Contract</v>
      </c>
      <c r="E29" s="25">
        <f>VLOOKUP(A29, Master_Roster!A$2:F$101, 6, FALSE)</f>
        <v>0</v>
      </c>
      <c r="F29">
        <f ca="1">VLOOKUP(A29, Matrix_Attendance_Tracker!A$4:AJ$103, 34, FALSE)</f>
        <v>6</v>
      </c>
      <c r="G29" s="23">
        <f t="shared" ca="1" si="0"/>
        <v>240</v>
      </c>
      <c r="H29" s="23">
        <f t="shared" ca="1" si="1"/>
        <v>1200</v>
      </c>
      <c r="I29" s="25">
        <f ca="1">ROUND(H29 * VLOOKUP(A29, Master_Roster!A$2:H$101, 8, FALSE), 2)</f>
        <v>144</v>
      </c>
      <c r="J29" s="23">
        <f t="shared" ca="1" si="2"/>
        <v>1056</v>
      </c>
    </row>
    <row r="30" spans="1:10">
      <c r="A30" t="str">
        <f>Master_Roster!A28</f>
        <v>EMP-1027</v>
      </c>
      <c r="B30" t="str">
        <f>VLOOKUP(A30, Master_Roster!A$2:B$101, 2, FALSE)</f>
        <v>Daniel Harris</v>
      </c>
      <c r="C30" t="str">
        <f>VLOOKUP(A30, Master_Roster!A$2:C$101, 3, FALSE)</f>
        <v>Sales</v>
      </c>
      <c r="D30" t="str">
        <f>VLOOKUP(A30, Master_Roster!A$2:E$101, 5, FALSE)</f>
        <v>Full-Time</v>
      </c>
      <c r="E30" s="25">
        <f>VLOOKUP(A30, Master_Roster!A$2:F$101, 6, FALSE)</f>
        <v>6700</v>
      </c>
      <c r="F30">
        <f ca="1">VLOOKUP(A30, Matrix_Attendance_Tracker!A$4:AJ$103, 34, FALSE)</f>
        <v>9</v>
      </c>
      <c r="G30" s="23">
        <f t="shared" ca="1" si="0"/>
        <v>225</v>
      </c>
      <c r="H30" s="23">
        <f t="shared" ca="1" si="1"/>
        <v>2544.23</v>
      </c>
      <c r="I30" s="25">
        <f ca="1">ROUND(H30 * VLOOKUP(A30, Master_Roster!A$2:H$101, 8, FALSE), 2)</f>
        <v>457.96</v>
      </c>
      <c r="J30" s="23">
        <f t="shared" ca="1" si="2"/>
        <v>2086.27</v>
      </c>
    </row>
    <row r="31" spans="1:10">
      <c r="A31" t="str">
        <f>Master_Roster!A29</f>
        <v>EMP-1028</v>
      </c>
      <c r="B31" t="str">
        <f>VLOOKUP(A31, Master_Roster!A$2:B$101, 2, FALSE)</f>
        <v>Aria Sanchez</v>
      </c>
      <c r="C31" t="str">
        <f>VLOOKUP(A31, Master_Roster!A$2:C$101, 3, FALSE)</f>
        <v>Operations</v>
      </c>
      <c r="D31" t="str">
        <f>VLOOKUP(A31, Master_Roster!A$2:E$101, 5, FALSE)</f>
        <v>Full-Time</v>
      </c>
      <c r="E31" s="25">
        <f>VLOOKUP(A31, Master_Roster!A$2:F$101, 6, FALSE)</f>
        <v>5400</v>
      </c>
      <c r="F31">
        <f ca="1">VLOOKUP(A31, Matrix_Attendance_Tracker!A$4:AJ$103, 34, FALSE)</f>
        <v>9</v>
      </c>
      <c r="G31" s="23">
        <f t="shared" ca="1" si="0"/>
        <v>225</v>
      </c>
      <c r="H31" s="23">
        <f t="shared" ca="1" si="1"/>
        <v>2094.23</v>
      </c>
      <c r="I31" s="25">
        <f ca="1">ROUND(H31 * VLOOKUP(A31, Master_Roster!A$2:H$101, 8, FALSE), 2)</f>
        <v>314.13</v>
      </c>
      <c r="J31" s="23">
        <f t="shared" ca="1" si="2"/>
        <v>1780.1</v>
      </c>
    </row>
    <row r="32" spans="1:10">
      <c r="A32" t="str">
        <f>Master_Roster!A30</f>
        <v>EMP-1029</v>
      </c>
      <c r="B32" t="str">
        <f>VLOOKUP(A32, Master_Roster!A$2:B$101, 2, FALSE)</f>
        <v>Henry Clark</v>
      </c>
      <c r="C32" t="str">
        <f>VLOOKUP(A32, Master_Roster!A$2:C$101, 3, FALSE)</f>
        <v>Engineering</v>
      </c>
      <c r="D32" t="str">
        <f>VLOOKUP(A32, Master_Roster!A$2:E$101, 5, FALSE)</f>
        <v>Full-Time</v>
      </c>
      <c r="E32" s="25">
        <f>VLOOKUP(A32, Master_Roster!A$2:F$101, 6, FALSE)</f>
        <v>8300</v>
      </c>
      <c r="F32">
        <f ca="1">VLOOKUP(A32, Matrix_Attendance_Tracker!A$4:AJ$103, 34, FALSE)</f>
        <v>18</v>
      </c>
      <c r="G32" s="23">
        <f t="shared" ca="1" si="0"/>
        <v>450</v>
      </c>
      <c r="H32" s="23">
        <f t="shared" ca="1" si="1"/>
        <v>6196.15</v>
      </c>
      <c r="I32" s="25">
        <f ca="1">ROUND(H32 * VLOOKUP(A32, Master_Roster!A$2:H$101, 8, FALSE), 2)</f>
        <v>1363.15</v>
      </c>
      <c r="J32" s="23">
        <f t="shared" ca="1" si="2"/>
        <v>4833</v>
      </c>
    </row>
    <row r="33" spans="1:10">
      <c r="A33" t="str">
        <f>Master_Roster!A31</f>
        <v>EMP-1030</v>
      </c>
      <c r="B33" t="str">
        <f>VLOOKUP(A33, Master_Roster!A$2:B$101, 2, FALSE)</f>
        <v>Chloe Ramirez</v>
      </c>
      <c r="C33" t="str">
        <f>VLOOKUP(A33, Master_Roster!A$2:C$101, 3, FALSE)</f>
        <v>Data Analytics</v>
      </c>
      <c r="D33" t="str">
        <f>VLOOKUP(A33, Master_Roster!A$2:E$101, 5, FALSE)</f>
        <v>Full-Time</v>
      </c>
      <c r="E33" s="25">
        <f>VLOOKUP(A33, Master_Roster!A$2:F$101, 6, FALSE)</f>
        <v>9800</v>
      </c>
      <c r="F33">
        <f ca="1">VLOOKUP(A33, Matrix_Attendance_Tracker!A$4:AJ$103, 34, FALSE)</f>
        <v>11</v>
      </c>
      <c r="G33" s="23">
        <f t="shared" ca="1" si="0"/>
        <v>275</v>
      </c>
      <c r="H33" s="23">
        <f t="shared" ca="1" si="1"/>
        <v>4421.1499999999996</v>
      </c>
      <c r="I33" s="25">
        <f ca="1">ROUND(H33 * VLOOKUP(A33, Master_Roster!A$2:H$101, 8, FALSE), 2)</f>
        <v>1105.29</v>
      </c>
      <c r="J33" s="23">
        <f t="shared" ca="1" si="2"/>
        <v>3315.86</v>
      </c>
    </row>
    <row r="34" spans="1:10">
      <c r="A34" t="str">
        <f>Master_Roster!A32</f>
        <v>EMP-1031</v>
      </c>
      <c r="B34" t="str">
        <f>VLOOKUP(A34, Master_Roster!A$2:B$101, 2, FALSE)</f>
        <v>Jackson Lewis</v>
      </c>
      <c r="C34" t="str">
        <f>VLOOKUP(A34, Master_Roster!A$2:C$101, 3, FALSE)</f>
        <v>HR</v>
      </c>
      <c r="D34" t="str">
        <f>VLOOKUP(A34, Master_Roster!A$2:E$101, 5, FALSE)</f>
        <v>Full-Time</v>
      </c>
      <c r="E34" s="25">
        <f>VLOOKUP(A34, Master_Roster!A$2:F$101, 6, FALSE)</f>
        <v>4600</v>
      </c>
      <c r="F34">
        <f ca="1">VLOOKUP(A34, Matrix_Attendance_Tracker!A$4:AJ$103, 34, FALSE)</f>
        <v>10</v>
      </c>
      <c r="G34" s="23">
        <f t="shared" ca="1" si="0"/>
        <v>250</v>
      </c>
      <c r="H34" s="23">
        <f t="shared" ca="1" si="1"/>
        <v>2019.23</v>
      </c>
      <c r="I34" s="25">
        <f ca="1">ROUND(H34 * VLOOKUP(A34, Master_Roster!A$2:H$101, 8, FALSE), 2)</f>
        <v>201.92</v>
      </c>
      <c r="J34" s="23">
        <f t="shared" ca="1" si="2"/>
        <v>1817.31</v>
      </c>
    </row>
    <row r="35" spans="1:10">
      <c r="A35" t="str">
        <f>Master_Roster!A33</f>
        <v>EMP-1032</v>
      </c>
      <c r="B35" t="str">
        <f>VLOOKUP(A35, Master_Roster!A$2:B$101, 2, FALSE)</f>
        <v>Penelope Robinson</v>
      </c>
      <c r="C35" t="str">
        <f>VLOOKUP(A35, Master_Roster!A$2:C$101, 3, FALSE)</f>
        <v>Finance</v>
      </c>
      <c r="D35" t="str">
        <f>VLOOKUP(A35, Master_Roster!A$2:E$101, 5, FALSE)</f>
        <v>Full-Time</v>
      </c>
      <c r="E35" s="25">
        <f>VLOOKUP(A35, Master_Roster!A$2:F$101, 6, FALSE)</f>
        <v>5100</v>
      </c>
      <c r="F35">
        <f ca="1">VLOOKUP(A35, Matrix_Attendance_Tracker!A$4:AJ$103, 34, FALSE)</f>
        <v>10</v>
      </c>
      <c r="G35" s="23">
        <f t="shared" ca="1" si="0"/>
        <v>250</v>
      </c>
      <c r="H35" s="23">
        <f t="shared" ca="1" si="1"/>
        <v>2211.54</v>
      </c>
      <c r="I35" s="25">
        <f ca="1">ROUND(H35 * VLOOKUP(A35, Master_Roster!A$2:H$101, 8, FALSE), 2)</f>
        <v>331.73</v>
      </c>
      <c r="J35" s="23">
        <f t="shared" ca="1" si="2"/>
        <v>1879.81</v>
      </c>
    </row>
    <row r="36" spans="1:10">
      <c r="A36" t="str">
        <f>Master_Roster!A34</f>
        <v>EMP-1033</v>
      </c>
      <c r="B36" t="str">
        <f>VLOOKUP(A36, Master_Roster!A$2:B$101, 2, FALSE)</f>
        <v>Sebastian Walker</v>
      </c>
      <c r="C36" t="str">
        <f>VLOOKUP(A36, Master_Roster!A$2:C$101, 3, FALSE)</f>
        <v>Marketing</v>
      </c>
      <c r="D36" t="str">
        <f>VLOOKUP(A36, Master_Roster!A$2:E$101, 5, FALSE)</f>
        <v>Full-Time</v>
      </c>
      <c r="E36" s="25">
        <f>VLOOKUP(A36, Master_Roster!A$2:F$101, 6, FALSE)</f>
        <v>7400</v>
      </c>
      <c r="F36">
        <f ca="1">VLOOKUP(A36, Matrix_Attendance_Tracker!A$4:AJ$103, 34, FALSE)</f>
        <v>10</v>
      </c>
      <c r="G36" s="23">
        <f t="shared" ca="1" si="0"/>
        <v>250</v>
      </c>
      <c r="H36" s="23">
        <f t="shared" ca="1" si="1"/>
        <v>3096.15</v>
      </c>
      <c r="I36" s="25">
        <f ca="1">ROUND(H36 * VLOOKUP(A36, Master_Roster!A$2:H$101, 8, FALSE), 2)</f>
        <v>619.23</v>
      </c>
      <c r="J36" s="23">
        <f t="shared" ca="1" si="2"/>
        <v>2476.92</v>
      </c>
    </row>
    <row r="37" spans="1:10">
      <c r="A37" t="str">
        <f>Master_Roster!A35</f>
        <v>EMP-1034</v>
      </c>
      <c r="B37" t="str">
        <f>VLOOKUP(A37, Master_Roster!A$2:B$101, 2, FALSE)</f>
        <v>Layla Young</v>
      </c>
      <c r="C37" t="str">
        <f>VLOOKUP(A37, Master_Roster!A$2:C$101, 3, FALSE)</f>
        <v>Sales</v>
      </c>
      <c r="D37" t="str">
        <f>VLOOKUP(A37, Master_Roster!A$2:E$101, 5, FALSE)</f>
        <v>Full-Time</v>
      </c>
      <c r="E37" s="25">
        <f>VLOOKUP(A37, Master_Roster!A$2:F$101, 6, FALSE)</f>
        <v>6200</v>
      </c>
      <c r="F37">
        <f ca="1">VLOOKUP(A37, Matrix_Attendance_Tracker!A$4:AJ$103, 34, FALSE)</f>
        <v>18</v>
      </c>
      <c r="G37" s="23">
        <f t="shared" ca="1" si="0"/>
        <v>450</v>
      </c>
      <c r="H37" s="23">
        <f t="shared" ca="1" si="1"/>
        <v>4742.3100000000004</v>
      </c>
      <c r="I37" s="25">
        <f ca="1">ROUND(H37 * VLOOKUP(A37, Master_Roster!A$2:H$101, 8, FALSE), 2)</f>
        <v>853.62</v>
      </c>
      <c r="J37" s="23">
        <f t="shared" ca="1" si="2"/>
        <v>3888.69</v>
      </c>
    </row>
    <row r="38" spans="1:10">
      <c r="A38" t="str">
        <f>Master_Roster!A36</f>
        <v>EMP-1035</v>
      </c>
      <c r="B38" t="str">
        <f>VLOOKUP(A38, Master_Roster!A$2:B$101, 2, FALSE)</f>
        <v>Jack Allen</v>
      </c>
      <c r="C38" t="str">
        <f>VLOOKUP(A38, Master_Roster!A$2:C$101, 3, FALSE)</f>
        <v>Operations</v>
      </c>
      <c r="D38" t="str">
        <f>VLOOKUP(A38, Master_Roster!A$2:E$101, 5, FALSE)</f>
        <v>Full-Time</v>
      </c>
      <c r="E38" s="25">
        <f>VLOOKUP(A38, Master_Roster!A$2:F$101, 6, FALSE)</f>
        <v>6900</v>
      </c>
      <c r="F38">
        <f ca="1">VLOOKUP(A38, Matrix_Attendance_Tracker!A$4:AJ$103, 34, FALSE)</f>
        <v>13</v>
      </c>
      <c r="G38" s="23">
        <f t="shared" ca="1" si="0"/>
        <v>325</v>
      </c>
      <c r="H38" s="23">
        <f t="shared" ca="1" si="1"/>
        <v>3775</v>
      </c>
      <c r="I38" s="25">
        <f ca="1">ROUND(H38 * VLOOKUP(A38, Master_Roster!A$2:H$101, 8, FALSE), 2)</f>
        <v>679.5</v>
      </c>
      <c r="J38" s="23">
        <f t="shared" ca="1" si="2"/>
        <v>3095.5</v>
      </c>
    </row>
    <row r="39" spans="1:10">
      <c r="A39" t="str">
        <f>Master_Roster!A37</f>
        <v>EMP-1036</v>
      </c>
      <c r="B39" t="str">
        <f>VLOOKUP(A39, Master_Roster!A$2:B$101, 2, FALSE)</f>
        <v>Riley King</v>
      </c>
      <c r="C39" t="str">
        <f>VLOOKUP(A39, Master_Roster!A$2:C$101, 3, FALSE)</f>
        <v>Engineering</v>
      </c>
      <c r="D39" t="str">
        <f>VLOOKUP(A39, Master_Roster!A$2:E$101, 5, FALSE)</f>
        <v>Full-Time</v>
      </c>
      <c r="E39" s="25">
        <f>VLOOKUP(A39, Master_Roster!A$2:F$101, 6, FALSE)</f>
        <v>9100</v>
      </c>
      <c r="F39">
        <f ca="1">VLOOKUP(A39, Matrix_Attendance_Tracker!A$4:AJ$103, 34, FALSE)</f>
        <v>9</v>
      </c>
      <c r="G39" s="23">
        <f t="shared" ca="1" si="0"/>
        <v>225</v>
      </c>
      <c r="H39" s="23">
        <f t="shared" ca="1" si="1"/>
        <v>3375</v>
      </c>
      <c r="I39" s="25">
        <f ca="1">ROUND(H39 * VLOOKUP(A39, Master_Roster!A$2:H$101, 8, FALSE), 2)</f>
        <v>843.75</v>
      </c>
      <c r="J39" s="23">
        <f t="shared" ca="1" si="2"/>
        <v>2531.25</v>
      </c>
    </row>
    <row r="40" spans="1:10">
      <c r="A40" t="str">
        <f>Master_Roster!A38</f>
        <v>EMP-1037</v>
      </c>
      <c r="B40" t="str">
        <f>VLOOKUP(A40, Master_Roster!A$2:B$101, 2, FALSE)</f>
        <v>Aiden Wright</v>
      </c>
      <c r="C40" t="str">
        <f>VLOOKUP(A40, Master_Roster!A$2:C$101, 3, FALSE)</f>
        <v>Data Analytics</v>
      </c>
      <c r="D40" t="str">
        <f>VLOOKUP(A40, Master_Roster!A$2:E$101, 5, FALSE)</f>
        <v>Contract</v>
      </c>
      <c r="E40" s="25">
        <f>VLOOKUP(A40, Master_Roster!A$2:F$101, 6, FALSE)</f>
        <v>0</v>
      </c>
      <c r="F40">
        <f ca="1">VLOOKUP(A40, Matrix_Attendance_Tracker!A$4:AJ$103, 34, FALSE)</f>
        <v>11</v>
      </c>
      <c r="G40" s="23">
        <f t="shared" ca="1" si="0"/>
        <v>440</v>
      </c>
      <c r="H40" s="23">
        <f t="shared" ca="1" si="1"/>
        <v>2200</v>
      </c>
      <c r="I40" s="25">
        <f ca="1">ROUND(H40 * VLOOKUP(A40, Master_Roster!A$2:H$101, 8, FALSE), 2)</f>
        <v>330</v>
      </c>
      <c r="J40" s="23">
        <f t="shared" ca="1" si="2"/>
        <v>1870</v>
      </c>
    </row>
    <row r="41" spans="1:10">
      <c r="A41" t="str">
        <f>Master_Roster!A39</f>
        <v>EMP-1038</v>
      </c>
      <c r="B41" t="str">
        <f>VLOOKUP(A41, Master_Roster!A$2:B$101, 2, FALSE)</f>
        <v>Zoey Scott</v>
      </c>
      <c r="C41" t="str">
        <f>VLOOKUP(A41, Master_Roster!A$2:C$101, 3, FALSE)</f>
        <v>HR</v>
      </c>
      <c r="D41" t="str">
        <f>VLOOKUP(A41, Master_Roster!A$2:E$101, 5, FALSE)</f>
        <v>Full-Time</v>
      </c>
      <c r="E41" s="25">
        <f>VLOOKUP(A41, Master_Roster!A$2:F$101, 6, FALSE)</f>
        <v>10500</v>
      </c>
      <c r="F41">
        <f ca="1">VLOOKUP(A41, Matrix_Attendance_Tracker!A$4:AJ$103, 34, FALSE)</f>
        <v>15</v>
      </c>
      <c r="G41" s="23">
        <f t="shared" ca="1" si="0"/>
        <v>375</v>
      </c>
      <c r="H41" s="23">
        <f t="shared" ca="1" si="1"/>
        <v>6432.69</v>
      </c>
      <c r="I41" s="25">
        <f ca="1">ROUND(H41 * VLOOKUP(A41, Master_Roster!A$2:H$101, 8, FALSE), 2)</f>
        <v>1608.17</v>
      </c>
      <c r="J41" s="23">
        <f t="shared" ca="1" si="2"/>
        <v>4824.5200000000004</v>
      </c>
    </row>
    <row r="42" spans="1:10">
      <c r="A42" t="str">
        <f>Master_Roster!A40</f>
        <v>EMP-1039</v>
      </c>
      <c r="B42" t="str">
        <f>VLOOKUP(A42, Master_Roster!A$2:B$101, 2, FALSE)</f>
        <v>Gabriel Torres</v>
      </c>
      <c r="C42" t="str">
        <f>VLOOKUP(A42, Master_Roster!A$2:C$101, 3, FALSE)</f>
        <v>Finance</v>
      </c>
      <c r="D42" t="str">
        <f>VLOOKUP(A42, Master_Roster!A$2:E$101, 5, FALSE)</f>
        <v>Full-Time</v>
      </c>
      <c r="E42" s="25">
        <f>VLOOKUP(A42, Master_Roster!A$2:F$101, 6, FALSE)</f>
        <v>7300</v>
      </c>
      <c r="F42">
        <f ca="1">VLOOKUP(A42, Matrix_Attendance_Tracker!A$4:AJ$103, 34, FALSE)</f>
        <v>10</v>
      </c>
      <c r="G42" s="23">
        <f t="shared" ca="1" si="0"/>
        <v>250</v>
      </c>
      <c r="H42" s="23">
        <f t="shared" ca="1" si="1"/>
        <v>3057.69</v>
      </c>
      <c r="I42" s="25">
        <f ca="1">ROUND(H42 * VLOOKUP(A42, Master_Roster!A$2:H$101, 8, FALSE), 2)</f>
        <v>611.54</v>
      </c>
      <c r="J42" s="23">
        <f t="shared" ca="1" si="2"/>
        <v>2446.15</v>
      </c>
    </row>
    <row r="43" spans="1:10">
      <c r="A43" t="str">
        <f>Master_Roster!A41</f>
        <v>EMP-1040</v>
      </c>
      <c r="B43" t="str">
        <f>VLOOKUP(A43, Master_Roster!A$2:B$101, 2, FALSE)</f>
        <v>Nora Nguyen</v>
      </c>
      <c r="C43" t="str">
        <f>VLOOKUP(A43, Master_Roster!A$2:C$101, 3, FALSE)</f>
        <v>Marketing</v>
      </c>
      <c r="D43" t="str">
        <f>VLOOKUP(A43, Master_Roster!A$2:E$101, 5, FALSE)</f>
        <v>Contract</v>
      </c>
      <c r="E43" s="25">
        <f>VLOOKUP(A43, Master_Roster!A$2:F$101, 6, FALSE)</f>
        <v>0</v>
      </c>
      <c r="F43">
        <f ca="1">VLOOKUP(A43, Matrix_Attendance_Tracker!A$4:AJ$103, 34, FALSE)</f>
        <v>9</v>
      </c>
      <c r="G43" s="23">
        <f t="shared" ca="1" si="0"/>
        <v>360</v>
      </c>
      <c r="H43" s="23">
        <f t="shared" ca="1" si="1"/>
        <v>1800</v>
      </c>
      <c r="I43" s="25">
        <f ca="1">ROUND(H43 * VLOOKUP(A43, Master_Roster!A$2:H$101, 8, FALSE), 2)</f>
        <v>216</v>
      </c>
      <c r="J43" s="23">
        <f t="shared" ca="1" si="2"/>
        <v>1584</v>
      </c>
    </row>
    <row r="44" spans="1:10">
      <c r="A44" t="str">
        <f>Master_Roster!A42</f>
        <v>EMP-1041</v>
      </c>
      <c r="B44" t="str">
        <f>VLOOKUP(A44, Master_Roster!A$2:B$101, 2, FALSE)</f>
        <v>Samual Hill</v>
      </c>
      <c r="C44" t="str">
        <f>VLOOKUP(A44, Master_Roster!A$2:C$101, 3, FALSE)</f>
        <v>Sales</v>
      </c>
      <c r="D44" t="str">
        <f>VLOOKUP(A44, Master_Roster!A$2:E$101, 5, FALSE)</f>
        <v>Full-Time</v>
      </c>
      <c r="E44" s="25">
        <f>VLOOKUP(A44, Master_Roster!A$2:F$101, 6, FALSE)</f>
        <v>8800</v>
      </c>
      <c r="F44">
        <f ca="1">VLOOKUP(A44, Matrix_Attendance_Tracker!A$4:AJ$103, 34, FALSE)</f>
        <v>8</v>
      </c>
      <c r="G44" s="23">
        <f t="shared" ca="1" si="0"/>
        <v>200</v>
      </c>
      <c r="H44" s="23">
        <f t="shared" ca="1" si="1"/>
        <v>2907.69</v>
      </c>
      <c r="I44" s="25">
        <f ca="1">ROUND(H44 * VLOOKUP(A44, Master_Roster!A$2:H$101, 8, FALSE), 2)</f>
        <v>726.92</v>
      </c>
      <c r="J44" s="23">
        <f t="shared" ca="1" si="2"/>
        <v>2180.77</v>
      </c>
    </row>
    <row r="45" spans="1:10">
      <c r="A45" t="str">
        <f>Master_Roster!A43</f>
        <v>EMP-1042</v>
      </c>
      <c r="B45" t="str">
        <f>VLOOKUP(A45, Master_Roster!A$2:B$101, 2, FALSE)</f>
        <v>Lily Flores</v>
      </c>
      <c r="C45" t="str">
        <f>VLOOKUP(A45, Master_Roster!A$2:C$101, 3, FALSE)</f>
        <v>Operations</v>
      </c>
      <c r="D45" t="str">
        <f>VLOOKUP(A45, Master_Roster!A$2:E$101, 5, FALSE)</f>
        <v>Full-Time</v>
      </c>
      <c r="E45" s="25">
        <f>VLOOKUP(A45, Master_Roster!A$2:F$101, 6, FALSE)</f>
        <v>6300</v>
      </c>
      <c r="F45">
        <f ca="1">VLOOKUP(A45, Matrix_Attendance_Tracker!A$4:AJ$103, 34, FALSE)</f>
        <v>11</v>
      </c>
      <c r="G45" s="23">
        <f t="shared" ca="1" si="0"/>
        <v>275</v>
      </c>
      <c r="H45" s="23">
        <f t="shared" ca="1" si="1"/>
        <v>2940.38</v>
      </c>
      <c r="I45" s="25">
        <f ca="1">ROUND(H45 * VLOOKUP(A45, Master_Roster!A$2:H$101, 8, FALSE), 2)</f>
        <v>529.27</v>
      </c>
      <c r="J45" s="23">
        <f t="shared" ca="1" si="2"/>
        <v>2411.11</v>
      </c>
    </row>
    <row r="46" spans="1:10">
      <c r="A46" t="str">
        <f>Master_Roster!A44</f>
        <v>EMP-1043</v>
      </c>
      <c r="B46" t="str">
        <f>VLOOKUP(A46, Master_Roster!A$2:B$101, 2, FALSE)</f>
        <v>David Green</v>
      </c>
      <c r="C46" t="str">
        <f>VLOOKUP(A46, Master_Roster!A$2:C$101, 3, FALSE)</f>
        <v>Engineering</v>
      </c>
      <c r="D46" t="str">
        <f>VLOOKUP(A46, Master_Roster!A$2:E$101, 5, FALSE)</f>
        <v>Full-Time</v>
      </c>
      <c r="E46" s="25">
        <f>VLOOKUP(A46, Master_Roster!A$2:F$101, 6, FALSE)</f>
        <v>7500</v>
      </c>
      <c r="F46">
        <f ca="1">VLOOKUP(A46, Matrix_Attendance_Tracker!A$4:AJ$103, 34, FALSE)</f>
        <v>12</v>
      </c>
      <c r="G46" s="23">
        <f t="shared" ca="1" si="0"/>
        <v>300</v>
      </c>
      <c r="H46" s="23">
        <f t="shared" ca="1" si="1"/>
        <v>3761.54</v>
      </c>
      <c r="I46" s="25">
        <f ca="1">ROUND(H46 * VLOOKUP(A46, Master_Roster!A$2:H$101, 8, FALSE), 2)</f>
        <v>752.31</v>
      </c>
      <c r="J46" s="23">
        <f t="shared" ca="1" si="2"/>
        <v>3009.23</v>
      </c>
    </row>
    <row r="47" spans="1:10">
      <c r="A47" t="str">
        <f>Master_Roster!A45</f>
        <v>EMP-1044</v>
      </c>
      <c r="B47" t="str">
        <f>VLOOKUP(A47, Master_Roster!A$2:B$101, 2, FALSE)</f>
        <v>Eleanor Adams</v>
      </c>
      <c r="C47" t="str">
        <f>VLOOKUP(A47, Master_Roster!A$2:C$101, 3, FALSE)</f>
        <v>Data Analytics</v>
      </c>
      <c r="D47" t="str">
        <f>VLOOKUP(A47, Master_Roster!A$2:E$101, 5, FALSE)</f>
        <v>Full-Time</v>
      </c>
      <c r="E47" s="25">
        <f>VLOOKUP(A47, Master_Roster!A$2:F$101, 6, FALSE)</f>
        <v>8200</v>
      </c>
      <c r="F47">
        <f ca="1">VLOOKUP(A47, Matrix_Attendance_Tracker!A$4:AJ$103, 34, FALSE)</f>
        <v>7</v>
      </c>
      <c r="G47" s="23">
        <f t="shared" ca="1" si="0"/>
        <v>175</v>
      </c>
      <c r="H47" s="23">
        <f t="shared" ca="1" si="1"/>
        <v>2382.69</v>
      </c>
      <c r="I47" s="25">
        <f ca="1">ROUND(H47 * VLOOKUP(A47, Master_Roster!A$2:H$101, 8, FALSE), 2)</f>
        <v>524.19000000000005</v>
      </c>
      <c r="J47" s="23">
        <f t="shared" ca="1" si="2"/>
        <v>1858.5</v>
      </c>
    </row>
    <row r="48" spans="1:10">
      <c r="A48" t="str">
        <f>Master_Roster!A46</f>
        <v>EMP-1045</v>
      </c>
      <c r="B48" t="str">
        <f>VLOOKUP(A48, Master_Roster!A$2:B$101, 2, FALSE)</f>
        <v>Carter Nelson</v>
      </c>
      <c r="C48" t="str">
        <f>VLOOKUP(A48, Master_Roster!A$2:C$101, 3, FALSE)</f>
        <v>HR</v>
      </c>
      <c r="D48" t="str">
        <f>VLOOKUP(A48, Master_Roster!A$2:E$101, 5, FALSE)</f>
        <v>Full-Time</v>
      </c>
      <c r="E48" s="25">
        <f>VLOOKUP(A48, Master_Roster!A$2:F$101, 6, FALSE)</f>
        <v>5200</v>
      </c>
      <c r="F48">
        <f ca="1">VLOOKUP(A48, Matrix_Attendance_Tracker!A$4:AJ$103, 34, FALSE)</f>
        <v>12</v>
      </c>
      <c r="G48" s="23">
        <f t="shared" ca="1" si="0"/>
        <v>300</v>
      </c>
      <c r="H48" s="23">
        <f t="shared" ca="1" si="1"/>
        <v>2700</v>
      </c>
      <c r="I48" s="25">
        <f ca="1">ROUND(H48 * VLOOKUP(A48, Master_Roster!A$2:H$101, 8, FALSE), 2)</f>
        <v>405</v>
      </c>
      <c r="J48" s="23">
        <f t="shared" ca="1" si="2"/>
        <v>2295</v>
      </c>
    </row>
    <row r="49" spans="1:10">
      <c r="A49" t="str">
        <f>Master_Roster!A47</f>
        <v>EMP-1046</v>
      </c>
      <c r="B49" t="str">
        <f>VLOOKUP(A49, Master_Roster!A$2:B$101, 2, FALSE)</f>
        <v>Hannah Baker</v>
      </c>
      <c r="C49" t="str">
        <f>VLOOKUP(A49, Master_Roster!A$2:C$101, 3, FALSE)</f>
        <v>Finance</v>
      </c>
      <c r="D49" t="str">
        <f>VLOOKUP(A49, Master_Roster!A$2:E$101, 5, FALSE)</f>
        <v>Full-Time</v>
      </c>
      <c r="E49" s="25">
        <f>VLOOKUP(A49, Master_Roster!A$2:F$101, 6, FALSE)</f>
        <v>6600</v>
      </c>
      <c r="F49">
        <f ca="1">VLOOKUP(A49, Matrix_Attendance_Tracker!A$4:AJ$103, 34, FALSE)</f>
        <v>8</v>
      </c>
      <c r="G49" s="23">
        <f t="shared" ca="1" si="0"/>
        <v>200</v>
      </c>
      <c r="H49" s="23">
        <f t="shared" ca="1" si="1"/>
        <v>2230.77</v>
      </c>
      <c r="I49" s="25">
        <f ca="1">ROUND(H49 * VLOOKUP(A49, Master_Roster!A$2:H$101, 8, FALSE), 2)</f>
        <v>401.54</v>
      </c>
      <c r="J49" s="23">
        <f t="shared" ca="1" si="2"/>
        <v>1829.23</v>
      </c>
    </row>
    <row r="50" spans="1:10">
      <c r="A50" t="str">
        <f>Master_Roster!A48</f>
        <v>EMP-1047</v>
      </c>
      <c r="B50" t="str">
        <f>VLOOKUP(A50, Master_Roster!A$2:B$101, 2, FALSE)</f>
        <v>Wyatt Hall</v>
      </c>
      <c r="C50" t="str">
        <f>VLOOKUP(A50, Master_Roster!A$2:C$101, 3, FALSE)</f>
        <v>Marketing</v>
      </c>
      <c r="D50" t="str">
        <f>VLOOKUP(A50, Master_Roster!A$2:E$101, 5, FALSE)</f>
        <v>Contract</v>
      </c>
      <c r="E50" s="25">
        <f>VLOOKUP(A50, Master_Roster!A$2:F$101, 6, FALSE)</f>
        <v>0</v>
      </c>
      <c r="F50">
        <f ca="1">VLOOKUP(A50, Matrix_Attendance_Tracker!A$4:AJ$103, 34, FALSE)</f>
        <v>8</v>
      </c>
      <c r="G50" s="23">
        <f t="shared" ca="1" si="0"/>
        <v>320</v>
      </c>
      <c r="H50" s="23">
        <f t="shared" ca="1" si="1"/>
        <v>1600</v>
      </c>
      <c r="I50" s="25">
        <f ca="1">ROUND(H50 * VLOOKUP(A50, Master_Roster!A$2:H$101, 8, FALSE), 2)</f>
        <v>192</v>
      </c>
      <c r="J50" s="23">
        <f t="shared" ca="1" si="2"/>
        <v>1408</v>
      </c>
    </row>
    <row r="51" spans="1:10">
      <c r="A51" t="str">
        <f>Master_Roster!A49</f>
        <v>EMP-1048</v>
      </c>
      <c r="B51" t="str">
        <f>VLOOKUP(A51, Master_Roster!A$2:B$101, 2, FALSE)</f>
        <v>Addison Rivera</v>
      </c>
      <c r="C51" t="str">
        <f>VLOOKUP(A51, Master_Roster!A$2:C$101, 3, FALSE)</f>
        <v>Sales</v>
      </c>
      <c r="D51" t="str">
        <f>VLOOKUP(A51, Master_Roster!A$2:E$101, 5, FALSE)</f>
        <v>Full-Time</v>
      </c>
      <c r="E51" s="25">
        <f>VLOOKUP(A51, Master_Roster!A$2:F$101, 6, FALSE)</f>
        <v>4700</v>
      </c>
      <c r="F51">
        <f ca="1">VLOOKUP(A51, Matrix_Attendance_Tracker!A$4:AJ$103, 34, FALSE)</f>
        <v>11</v>
      </c>
      <c r="G51" s="23">
        <f t="shared" ca="1" si="0"/>
        <v>275</v>
      </c>
      <c r="H51" s="23">
        <f t="shared" ca="1" si="1"/>
        <v>2263.46</v>
      </c>
      <c r="I51" s="25">
        <f ca="1">ROUND(H51 * VLOOKUP(A51, Master_Roster!A$2:H$101, 8, FALSE), 2)</f>
        <v>226.35</v>
      </c>
      <c r="J51" s="23">
        <f t="shared" ca="1" si="2"/>
        <v>2037.11</v>
      </c>
    </row>
    <row r="52" spans="1:10">
      <c r="A52" t="str">
        <f>Master_Roster!A50</f>
        <v>EMP-1049</v>
      </c>
      <c r="B52" t="str">
        <f>VLOOKUP(A52, Master_Roster!A$2:B$101, 2, FALSE)</f>
        <v>Jayden Campbell</v>
      </c>
      <c r="C52" t="str">
        <f>VLOOKUP(A52, Master_Roster!A$2:C$101, 3, FALSE)</f>
        <v>Operations</v>
      </c>
      <c r="D52" t="str">
        <f>VLOOKUP(A52, Master_Roster!A$2:E$101, 5, FALSE)</f>
        <v>Full-Time</v>
      </c>
      <c r="E52" s="25">
        <f>VLOOKUP(A52, Master_Roster!A$2:F$101, 6, FALSE)</f>
        <v>5800</v>
      </c>
      <c r="F52">
        <f ca="1">VLOOKUP(A52, Matrix_Attendance_Tracker!A$4:AJ$103, 34, FALSE)</f>
        <v>11</v>
      </c>
      <c r="G52" s="23">
        <f t="shared" ca="1" si="0"/>
        <v>275</v>
      </c>
      <c r="H52" s="23">
        <f t="shared" ca="1" si="1"/>
        <v>2728.85</v>
      </c>
      <c r="I52" s="25">
        <f ca="1">ROUND(H52 * VLOOKUP(A52, Master_Roster!A$2:H$101, 8, FALSE), 2)</f>
        <v>409.33</v>
      </c>
      <c r="J52" s="23">
        <f t="shared" ca="1" si="2"/>
        <v>2319.52</v>
      </c>
    </row>
    <row r="53" spans="1:10">
      <c r="A53" t="str">
        <f>Master_Roster!A51</f>
        <v>EMP-1050</v>
      </c>
      <c r="B53" t="str">
        <f>VLOOKUP(A53, Master_Roster!A$2:B$101, 2, FALSE)</f>
        <v>Aubrey Mitchell</v>
      </c>
      <c r="C53" t="str">
        <f>VLOOKUP(A53, Master_Roster!A$2:C$101, 3, FALSE)</f>
        <v>Engineering</v>
      </c>
      <c r="D53" t="str">
        <f>VLOOKUP(A53, Master_Roster!A$2:E$101, 5, FALSE)</f>
        <v>Full-Time</v>
      </c>
      <c r="E53" s="25">
        <f>VLOOKUP(A53, Master_Roster!A$2:F$101, 6, FALSE)</f>
        <v>8600</v>
      </c>
      <c r="F53">
        <f ca="1">VLOOKUP(A53, Matrix_Attendance_Tracker!A$4:AJ$103, 34, FALSE)</f>
        <v>7</v>
      </c>
      <c r="G53" s="23">
        <f t="shared" ca="1" si="0"/>
        <v>175</v>
      </c>
      <c r="H53" s="23">
        <f t="shared" ca="1" si="1"/>
        <v>2490.38</v>
      </c>
      <c r="I53" s="25">
        <f ca="1">ROUND(H53 * VLOOKUP(A53, Master_Roster!A$2:H$101, 8, FALSE), 2)</f>
        <v>547.88</v>
      </c>
      <c r="J53" s="23">
        <f t="shared" ca="1" si="2"/>
        <v>1942.5</v>
      </c>
    </row>
    <row r="54" spans="1:10">
      <c r="A54" t="str">
        <f>Master_Roster!A52</f>
        <v>EMP-1051</v>
      </c>
      <c r="B54" t="str">
        <f>VLOOKUP(A54, Master_Roster!A$2:B$101, 2, FALSE)</f>
        <v>John Carter</v>
      </c>
      <c r="C54" t="str">
        <f>VLOOKUP(A54, Master_Roster!A$2:C$101, 3, FALSE)</f>
        <v>Data Analytics</v>
      </c>
      <c r="D54" t="str">
        <f>VLOOKUP(A54, Master_Roster!A$2:E$101, 5, FALSE)</f>
        <v>Full-Time</v>
      </c>
      <c r="E54" s="25">
        <f>VLOOKUP(A54, Master_Roster!A$2:F$101, 6, FALSE)</f>
        <v>5300</v>
      </c>
      <c r="F54">
        <f ca="1">VLOOKUP(A54, Matrix_Attendance_Tracker!A$4:AJ$103, 34, FALSE)</f>
        <v>8</v>
      </c>
      <c r="G54" s="23">
        <f t="shared" ca="1" si="0"/>
        <v>200</v>
      </c>
      <c r="H54" s="23">
        <f t="shared" ca="1" si="1"/>
        <v>1830.77</v>
      </c>
      <c r="I54" s="25">
        <f ca="1">ROUND(H54 * VLOOKUP(A54, Master_Roster!A$2:H$101, 8, FALSE), 2)</f>
        <v>274.62</v>
      </c>
      <c r="J54" s="23">
        <f t="shared" ca="1" si="2"/>
        <v>1556.15</v>
      </c>
    </row>
    <row r="55" spans="1:10">
      <c r="A55" t="str">
        <f>Master_Roster!A53</f>
        <v>EMP-1052</v>
      </c>
      <c r="B55" t="str">
        <f>VLOOKUP(A55, Master_Roster!A$2:B$101, 2, FALSE)</f>
        <v>Stella Roberts</v>
      </c>
      <c r="C55" t="str">
        <f>VLOOKUP(A55, Master_Roster!A$2:C$101, 3, FALSE)</f>
        <v>HR</v>
      </c>
      <c r="D55" t="str">
        <f>VLOOKUP(A55, Master_Roster!A$2:E$101, 5, FALSE)</f>
        <v>Full-Time</v>
      </c>
      <c r="E55" s="25">
        <f>VLOOKUP(A55, Master_Roster!A$2:F$101, 6, FALSE)</f>
        <v>5500</v>
      </c>
      <c r="F55">
        <f ca="1">VLOOKUP(A55, Matrix_Attendance_Tracker!A$4:AJ$103, 34, FALSE)</f>
        <v>8</v>
      </c>
      <c r="G55" s="23">
        <f t="shared" ca="1" si="0"/>
        <v>200</v>
      </c>
      <c r="H55" s="23">
        <f t="shared" ca="1" si="1"/>
        <v>1892.31</v>
      </c>
      <c r="I55" s="25">
        <f ca="1">ROUND(H55 * VLOOKUP(A55, Master_Roster!A$2:H$101, 8, FALSE), 2)</f>
        <v>283.85000000000002</v>
      </c>
      <c r="J55" s="23">
        <f t="shared" ca="1" si="2"/>
        <v>1608.46</v>
      </c>
    </row>
    <row r="56" spans="1:10">
      <c r="A56" t="str">
        <f>Master_Roster!A54</f>
        <v>EMP-1053</v>
      </c>
      <c r="B56" t="str">
        <f>VLOOKUP(A56, Master_Roster!A$2:B$101, 2, FALSE)</f>
        <v>Luke Gomez</v>
      </c>
      <c r="C56" t="str">
        <f>VLOOKUP(A56, Master_Roster!A$2:C$101, 3, FALSE)</f>
        <v>Finance</v>
      </c>
      <c r="D56" t="str">
        <f>VLOOKUP(A56, Master_Roster!A$2:E$101, 5, FALSE)</f>
        <v>Full-Time</v>
      </c>
      <c r="E56" s="25">
        <f>VLOOKUP(A56, Master_Roster!A$2:F$101, 6, FALSE)</f>
        <v>8400</v>
      </c>
      <c r="F56">
        <f ca="1">VLOOKUP(A56, Matrix_Attendance_Tracker!A$4:AJ$103, 34, FALSE)</f>
        <v>8</v>
      </c>
      <c r="G56" s="23">
        <f t="shared" ca="1" si="0"/>
        <v>200</v>
      </c>
      <c r="H56" s="23">
        <f t="shared" ca="1" si="1"/>
        <v>2784.62</v>
      </c>
      <c r="I56" s="25">
        <f ca="1">ROUND(H56 * VLOOKUP(A56, Master_Roster!A$2:H$101, 8, FALSE), 2)</f>
        <v>612.62</v>
      </c>
      <c r="J56" s="23">
        <f t="shared" ca="1" si="2"/>
        <v>2172</v>
      </c>
    </row>
    <row r="57" spans="1:10">
      <c r="A57" t="str">
        <f>Master_Roster!A55</f>
        <v>EMP-1054</v>
      </c>
      <c r="B57" t="str">
        <f>VLOOKUP(A57, Master_Roster!A$2:B$101, 2, FALSE)</f>
        <v>Natalie Phillips</v>
      </c>
      <c r="C57" t="str">
        <f>VLOOKUP(A57, Master_Roster!A$2:C$101, 3, FALSE)</f>
        <v>Marketing</v>
      </c>
      <c r="D57" t="str">
        <f>VLOOKUP(A57, Master_Roster!A$2:E$101, 5, FALSE)</f>
        <v>Full-Time</v>
      </c>
      <c r="E57" s="25">
        <f>VLOOKUP(A57, Master_Roster!A$2:F$101, 6, FALSE)</f>
        <v>4900</v>
      </c>
      <c r="F57">
        <f ca="1">VLOOKUP(A57, Matrix_Attendance_Tracker!A$4:AJ$103, 34, FALSE)</f>
        <v>12</v>
      </c>
      <c r="G57" s="23">
        <f t="shared" ca="1" si="0"/>
        <v>300</v>
      </c>
      <c r="H57" s="23">
        <f t="shared" ca="1" si="1"/>
        <v>2561.54</v>
      </c>
      <c r="I57" s="25">
        <f ca="1">ROUND(H57 * VLOOKUP(A57, Master_Roster!A$2:H$101, 8, FALSE), 2)</f>
        <v>307.38</v>
      </c>
      <c r="J57" s="23">
        <f t="shared" ca="1" si="2"/>
        <v>2254.16</v>
      </c>
    </row>
    <row r="58" spans="1:10">
      <c r="A58" t="str">
        <f>Master_Roster!A56</f>
        <v>EMP-1055</v>
      </c>
      <c r="B58" t="str">
        <f>VLOOKUP(A58, Master_Roster!A$2:B$101, 2, FALSE)</f>
        <v>Grayson Evans</v>
      </c>
      <c r="C58" t="str">
        <f>VLOOKUP(A58, Master_Roster!A$2:C$101, 3, FALSE)</f>
        <v>Sales</v>
      </c>
      <c r="D58" t="str">
        <f>VLOOKUP(A58, Master_Roster!A$2:E$101, 5, FALSE)</f>
        <v>Full-Time</v>
      </c>
      <c r="E58" s="25">
        <f>VLOOKUP(A58, Master_Roster!A$2:F$101, 6, FALSE)</f>
        <v>12000</v>
      </c>
      <c r="F58">
        <f ca="1">VLOOKUP(A58, Matrix_Attendance_Tracker!A$4:AJ$103, 34, FALSE)</f>
        <v>11</v>
      </c>
      <c r="G58" s="23">
        <f t="shared" ca="1" si="0"/>
        <v>275</v>
      </c>
      <c r="H58" s="23">
        <f t="shared" ca="1" si="1"/>
        <v>5351.92</v>
      </c>
      <c r="I58" s="25">
        <f ca="1">ROUND(H58 * VLOOKUP(A58, Master_Roster!A$2:H$101, 8, FALSE), 2)</f>
        <v>1337.98</v>
      </c>
      <c r="J58" s="23">
        <f t="shared" ca="1" si="2"/>
        <v>4013.94</v>
      </c>
    </row>
    <row r="59" spans="1:10">
      <c r="A59" t="str">
        <f>Master_Roster!A57</f>
        <v>EMP-1056</v>
      </c>
      <c r="B59" t="str">
        <f>VLOOKUP(A59, Master_Roster!A$2:B$101, 2, FALSE)</f>
        <v>Leah Turner</v>
      </c>
      <c r="C59" t="str">
        <f>VLOOKUP(A59, Master_Roster!A$2:C$101, 3, FALSE)</f>
        <v>Operations</v>
      </c>
      <c r="D59" t="str">
        <f>VLOOKUP(A59, Master_Roster!A$2:E$101, 5, FALSE)</f>
        <v>Full-Time</v>
      </c>
      <c r="E59" s="25">
        <f>VLOOKUP(A59, Master_Roster!A$2:F$101, 6, FALSE)</f>
        <v>5900</v>
      </c>
      <c r="F59">
        <f ca="1">VLOOKUP(A59, Matrix_Attendance_Tracker!A$4:AJ$103, 34, FALSE)</f>
        <v>11</v>
      </c>
      <c r="G59" s="23">
        <f t="shared" ca="1" si="0"/>
        <v>275</v>
      </c>
      <c r="H59" s="23">
        <f t="shared" ca="1" si="1"/>
        <v>2771.15</v>
      </c>
      <c r="I59" s="25">
        <f ca="1">ROUND(H59 * VLOOKUP(A59, Master_Roster!A$2:H$101, 8, FALSE), 2)</f>
        <v>415.67</v>
      </c>
      <c r="J59" s="23">
        <f t="shared" ca="1" si="2"/>
        <v>2355.48</v>
      </c>
    </row>
    <row r="60" spans="1:10">
      <c r="A60" t="str">
        <f>Master_Roster!A58</f>
        <v>EMP-1057</v>
      </c>
      <c r="B60" t="str">
        <f>VLOOKUP(A60, Master_Roster!A$2:B$101, 2, FALSE)</f>
        <v>Julian Perez</v>
      </c>
      <c r="C60" t="str">
        <f>VLOOKUP(A60, Master_Roster!A$2:C$101, 3, FALSE)</f>
        <v>Engineering</v>
      </c>
      <c r="D60" t="str">
        <f>VLOOKUP(A60, Master_Roster!A$2:E$101, 5, FALSE)</f>
        <v>Full-Time</v>
      </c>
      <c r="E60" s="25">
        <f>VLOOKUP(A60, Master_Roster!A$2:F$101, 6, FALSE)</f>
        <v>9900</v>
      </c>
      <c r="F60">
        <f ca="1">VLOOKUP(A60, Matrix_Attendance_Tracker!A$4:AJ$103, 34, FALSE)</f>
        <v>10</v>
      </c>
      <c r="G60" s="23">
        <f t="shared" ca="1" si="0"/>
        <v>250</v>
      </c>
      <c r="H60" s="23">
        <f t="shared" ca="1" si="1"/>
        <v>4057.69</v>
      </c>
      <c r="I60" s="25">
        <f ca="1">ROUND(H60 * VLOOKUP(A60, Master_Roster!A$2:H$101, 8, FALSE), 2)</f>
        <v>1014.42</v>
      </c>
      <c r="J60" s="23">
        <f t="shared" ca="1" si="2"/>
        <v>3043.27</v>
      </c>
    </row>
    <row r="61" spans="1:10">
      <c r="A61" t="str">
        <f>Master_Roster!A59</f>
        <v>EMP-1058</v>
      </c>
      <c r="B61" t="str">
        <f>VLOOKUP(A61, Master_Roster!A$2:B$101, 2, FALSE)</f>
        <v>Hazel Cooper</v>
      </c>
      <c r="C61" t="str">
        <f>VLOOKUP(A61, Master_Roster!A$2:C$101, 3, FALSE)</f>
        <v>Data Analytics</v>
      </c>
      <c r="D61" t="str">
        <f>VLOOKUP(A61, Master_Roster!A$2:E$101, 5, FALSE)</f>
        <v>Full-Time</v>
      </c>
      <c r="E61" s="25">
        <f>VLOOKUP(A61, Master_Roster!A$2:F$101, 6, FALSE)</f>
        <v>9200</v>
      </c>
      <c r="F61">
        <f ca="1">VLOOKUP(A61, Matrix_Attendance_Tracker!A$4:AJ$103, 34, FALSE)</f>
        <v>10</v>
      </c>
      <c r="G61" s="23">
        <f t="shared" ca="1" si="0"/>
        <v>250</v>
      </c>
      <c r="H61" s="23">
        <f t="shared" ca="1" si="1"/>
        <v>3788.46</v>
      </c>
      <c r="I61" s="25">
        <f ca="1">ROUND(H61 * VLOOKUP(A61, Master_Roster!A$2:H$101, 8, FALSE), 2)</f>
        <v>947.12</v>
      </c>
      <c r="J61" s="23">
        <f t="shared" ca="1" si="2"/>
        <v>2841.34</v>
      </c>
    </row>
    <row r="62" spans="1:10">
      <c r="A62" t="str">
        <f>Master_Roster!A60</f>
        <v>EMP-1059</v>
      </c>
      <c r="B62" t="str">
        <f>VLOOKUP(A62, Master_Roster!A$2:B$101, 2, FALSE)</f>
        <v>Caleb Richardson</v>
      </c>
      <c r="C62" t="str">
        <f>VLOOKUP(A62, Master_Roster!A$2:C$101, 3, FALSE)</f>
        <v>HR</v>
      </c>
      <c r="D62" t="str">
        <f>VLOOKUP(A62, Master_Roster!A$2:E$101, 5, FALSE)</f>
        <v>Full-Time</v>
      </c>
      <c r="E62" s="25">
        <f>VLOOKUP(A62, Master_Roster!A$2:F$101, 6, FALSE)</f>
        <v>7100</v>
      </c>
      <c r="F62">
        <f ca="1">VLOOKUP(A62, Matrix_Attendance_Tracker!A$4:AJ$103, 34, FALSE)</f>
        <v>12</v>
      </c>
      <c r="G62" s="23">
        <f t="shared" ca="1" si="0"/>
        <v>300</v>
      </c>
      <c r="H62" s="23">
        <f t="shared" ca="1" si="1"/>
        <v>3576.92</v>
      </c>
      <c r="I62" s="25">
        <f ca="1">ROUND(H62 * VLOOKUP(A62, Master_Roster!A$2:H$101, 8, FALSE), 2)</f>
        <v>643.85</v>
      </c>
      <c r="J62" s="23">
        <f t="shared" ca="1" si="2"/>
        <v>2933.07</v>
      </c>
    </row>
    <row r="63" spans="1:10">
      <c r="A63" t="str">
        <f>Master_Roster!A61</f>
        <v>EMP-1060</v>
      </c>
      <c r="B63" t="str">
        <f>VLOOKUP(A63, Master_Roster!A$2:B$101, 2, FALSE)</f>
        <v>Violet Cox</v>
      </c>
      <c r="C63" t="str">
        <f>VLOOKUP(A63, Master_Roster!A$2:C$101, 3, FALSE)</f>
        <v>Finance</v>
      </c>
      <c r="D63" t="str">
        <f>VLOOKUP(A63, Master_Roster!A$2:E$101, 5, FALSE)</f>
        <v>Full-Time</v>
      </c>
      <c r="E63" s="25">
        <f>VLOOKUP(A63, Master_Roster!A$2:F$101, 6, FALSE)</f>
        <v>4600</v>
      </c>
      <c r="F63">
        <f ca="1">VLOOKUP(A63, Matrix_Attendance_Tracker!A$4:AJ$103, 34, FALSE)</f>
        <v>10</v>
      </c>
      <c r="G63" s="23">
        <f t="shared" ca="1" si="0"/>
        <v>250</v>
      </c>
      <c r="H63" s="23">
        <f t="shared" ca="1" si="1"/>
        <v>2019.23</v>
      </c>
      <c r="I63" s="25">
        <f ca="1">ROUND(H63 * VLOOKUP(A63, Master_Roster!A$2:H$101, 8, FALSE), 2)</f>
        <v>201.92</v>
      </c>
      <c r="J63" s="23">
        <f t="shared" ca="1" si="2"/>
        <v>1817.31</v>
      </c>
    </row>
    <row r="64" spans="1:10">
      <c r="A64" t="str">
        <f>Master_Roster!A62</f>
        <v>EMP-1061</v>
      </c>
      <c r="B64" t="str">
        <f>VLOOKUP(A64, Master_Roster!A$2:B$101, 2, FALSE)</f>
        <v>Ryan Howard</v>
      </c>
      <c r="C64" t="str">
        <f>VLOOKUP(A64, Master_Roster!A$2:C$101, 3, FALSE)</f>
        <v>Marketing</v>
      </c>
      <c r="D64" t="str">
        <f>VLOOKUP(A64, Master_Roster!A$2:E$101, 5, FALSE)</f>
        <v>Contract</v>
      </c>
      <c r="E64" s="25">
        <f>VLOOKUP(A64, Master_Roster!A$2:F$101, 6, FALSE)</f>
        <v>0</v>
      </c>
      <c r="F64">
        <f ca="1">VLOOKUP(A64, Matrix_Attendance_Tracker!A$4:AJ$103, 34, FALSE)</f>
        <v>13</v>
      </c>
      <c r="G64" s="23">
        <f t="shared" ca="1" si="0"/>
        <v>520</v>
      </c>
      <c r="H64" s="23">
        <f t="shared" ca="1" si="1"/>
        <v>2600</v>
      </c>
      <c r="I64" s="25">
        <f ca="1">ROUND(H64 * VLOOKUP(A64, Master_Roster!A$2:H$101, 8, FALSE), 2)</f>
        <v>390</v>
      </c>
      <c r="J64" s="23">
        <f t="shared" ca="1" si="2"/>
        <v>2210</v>
      </c>
    </row>
    <row r="65" spans="1:10">
      <c r="A65" t="str">
        <f>Master_Roster!A63</f>
        <v>EMP-1062</v>
      </c>
      <c r="B65" t="str">
        <f>VLOOKUP(A65, Master_Roster!A$2:B$101, 2, FALSE)</f>
        <v>Aurora Ward</v>
      </c>
      <c r="C65" t="str">
        <f>VLOOKUP(A65, Master_Roster!A$2:C$101, 3, FALSE)</f>
        <v>Sales</v>
      </c>
      <c r="D65" t="str">
        <f>VLOOKUP(A65, Master_Roster!A$2:E$101, 5, FALSE)</f>
        <v>Full-Time</v>
      </c>
      <c r="E65" s="25">
        <f>VLOOKUP(A65, Master_Roster!A$2:F$101, 6, FALSE)</f>
        <v>5100</v>
      </c>
      <c r="F65">
        <f ca="1">VLOOKUP(A65, Matrix_Attendance_Tracker!A$4:AJ$103, 34, FALSE)</f>
        <v>6</v>
      </c>
      <c r="G65" s="23">
        <f t="shared" ca="1" si="0"/>
        <v>150</v>
      </c>
      <c r="H65" s="23">
        <f t="shared" ca="1" si="1"/>
        <v>1326.92</v>
      </c>
      <c r="I65" s="25">
        <f ca="1">ROUND(H65 * VLOOKUP(A65, Master_Roster!A$2:H$101, 8, FALSE), 2)</f>
        <v>199.04</v>
      </c>
      <c r="J65" s="23">
        <f t="shared" ca="1" si="2"/>
        <v>1127.8800000000001</v>
      </c>
    </row>
    <row r="66" spans="1:10">
      <c r="A66" t="str">
        <f>Master_Roster!A64</f>
        <v>EMP-1063</v>
      </c>
      <c r="B66" t="str">
        <f>VLOOKUP(A66, Master_Roster!A$2:B$101, 2, FALSE)</f>
        <v>Asher Torres</v>
      </c>
      <c r="C66" t="str">
        <f>VLOOKUP(A66, Master_Roster!A$2:C$101, 3, FALSE)</f>
        <v>Operations</v>
      </c>
      <c r="D66" t="str">
        <f>VLOOKUP(A66, Master_Roster!A$2:E$101, 5, FALSE)</f>
        <v>Full-Time</v>
      </c>
      <c r="E66" s="25">
        <f>VLOOKUP(A66, Master_Roster!A$2:F$101, 6, FALSE)</f>
        <v>6500</v>
      </c>
      <c r="F66">
        <f ca="1">VLOOKUP(A66, Matrix_Attendance_Tracker!A$4:AJ$103, 34, FALSE)</f>
        <v>16</v>
      </c>
      <c r="G66" s="23">
        <f t="shared" ca="1" si="0"/>
        <v>400</v>
      </c>
      <c r="H66" s="23">
        <f t="shared" ca="1" si="1"/>
        <v>4400</v>
      </c>
      <c r="I66" s="25">
        <f ca="1">ROUND(H66 * VLOOKUP(A66, Master_Roster!A$2:H$101, 8, FALSE), 2)</f>
        <v>792</v>
      </c>
      <c r="J66" s="23">
        <f t="shared" ca="1" si="2"/>
        <v>3608</v>
      </c>
    </row>
    <row r="67" spans="1:10">
      <c r="A67" t="str">
        <f>Master_Roster!A65</f>
        <v>EMP-1064</v>
      </c>
      <c r="B67" t="str">
        <f>VLOOKUP(A67, Master_Roster!A$2:B$101, 2, FALSE)</f>
        <v>Savannah Peterson</v>
      </c>
      <c r="C67" t="str">
        <f>VLOOKUP(A67, Master_Roster!A$2:C$101, 3, FALSE)</f>
        <v>Engineering</v>
      </c>
      <c r="D67" t="str">
        <f>VLOOKUP(A67, Master_Roster!A$2:E$101, 5, FALSE)</f>
        <v>Full-Time</v>
      </c>
      <c r="E67" s="25">
        <f>VLOOKUP(A67, Master_Roster!A$2:F$101, 6, FALSE)</f>
        <v>7800</v>
      </c>
      <c r="F67">
        <f ca="1">VLOOKUP(A67, Matrix_Attendance_Tracker!A$4:AJ$103, 34, FALSE)</f>
        <v>13</v>
      </c>
      <c r="G67" s="23">
        <f t="shared" ca="1" si="0"/>
        <v>325</v>
      </c>
      <c r="H67" s="23">
        <f t="shared" ca="1" si="1"/>
        <v>4225</v>
      </c>
      <c r="I67" s="25">
        <f ca="1">ROUND(H67 * VLOOKUP(A67, Master_Roster!A$2:H$101, 8, FALSE), 2)</f>
        <v>845</v>
      </c>
      <c r="J67" s="23">
        <f t="shared" ca="1" si="2"/>
        <v>3380</v>
      </c>
    </row>
    <row r="68" spans="1:10">
      <c r="A68" t="str">
        <f>Master_Roster!A66</f>
        <v>EMP-1065</v>
      </c>
      <c r="B68" t="str">
        <f>VLOOKUP(A68, Master_Roster!A$2:B$101, 2, FALSE)</f>
        <v>Christian Gray</v>
      </c>
      <c r="C68" t="str">
        <f>VLOOKUP(A68, Master_Roster!A$2:C$101, 3, FALSE)</f>
        <v>Data Analytics</v>
      </c>
      <c r="D68" t="str">
        <f>VLOOKUP(A68, Master_Roster!A$2:E$101, 5, FALSE)</f>
        <v>Full-Time</v>
      </c>
      <c r="E68" s="25">
        <f>VLOOKUP(A68, Master_Roster!A$2:F$101, 6, FALSE)</f>
        <v>7400</v>
      </c>
      <c r="F68">
        <f ca="1">VLOOKUP(A68, Matrix_Attendance_Tracker!A$4:AJ$103, 34, FALSE)</f>
        <v>11</v>
      </c>
      <c r="G68" s="23">
        <f t="shared" ca="1" si="0"/>
        <v>275</v>
      </c>
      <c r="H68" s="23">
        <f t="shared" ca="1" si="1"/>
        <v>3405.77</v>
      </c>
      <c r="I68" s="25">
        <f ca="1">ROUND(H68 * VLOOKUP(A68, Master_Roster!A$2:H$101, 8, FALSE), 2)</f>
        <v>681.15</v>
      </c>
      <c r="J68" s="23">
        <f t="shared" ca="1" si="2"/>
        <v>2724.62</v>
      </c>
    </row>
    <row r="69" spans="1:10">
      <c r="A69" t="str">
        <f>Master_Roster!A67</f>
        <v>EMP-1066</v>
      </c>
      <c r="B69" t="str">
        <f>VLOOKUP(A69, Master_Roster!A$2:B$101, 2, FALSE)</f>
        <v>Brooklyn Ramirez</v>
      </c>
      <c r="C69" t="str">
        <f>VLOOKUP(A69, Master_Roster!A$2:C$101, 3, FALSE)</f>
        <v>HR</v>
      </c>
      <c r="D69" t="str">
        <f>VLOOKUP(A69, Master_Roster!A$2:E$101, 5, FALSE)</f>
        <v>Full-Time</v>
      </c>
      <c r="E69" s="25">
        <f>VLOOKUP(A69, Master_Roster!A$2:F$101, 6, FALSE)</f>
        <v>4200</v>
      </c>
      <c r="F69">
        <f ca="1">VLOOKUP(A69, Matrix_Attendance_Tracker!A$4:AJ$103, 34, FALSE)</f>
        <v>13</v>
      </c>
      <c r="G69" s="23">
        <f t="shared" ref="G69:G103" ca="1" si="3">IF(D69="Full-Time", F69 * 25, F69 * 40)</f>
        <v>325</v>
      </c>
      <c r="H69" s="23">
        <f t="shared" ref="H69:H103" ca="1" si="4">IF(D69="Full-Time", ROUND((E69/26)*F69 + G69, 2), ROUND(F69 * 160 + G69, 2))</f>
        <v>2425</v>
      </c>
      <c r="I69" s="25">
        <f ca="1">ROUND(H69 * VLOOKUP(A69, Master_Roster!A$2:H$101, 8, FALSE), 2)</f>
        <v>242.5</v>
      </c>
      <c r="J69" s="23">
        <f t="shared" ref="J69:J103" ca="1" si="5">ROUND(H69 - I69, 2)</f>
        <v>2182.5</v>
      </c>
    </row>
    <row r="70" spans="1:10">
      <c r="A70" t="str">
        <f>Master_Roster!A68</f>
        <v>EMP-1067</v>
      </c>
      <c r="B70" t="str">
        <f>VLOOKUP(A70, Master_Roster!A$2:B$101, 2, FALSE)</f>
        <v>Hunter James</v>
      </c>
      <c r="C70" t="str">
        <f>VLOOKUP(A70, Master_Roster!A$2:C$101, 3, FALSE)</f>
        <v>Finance</v>
      </c>
      <c r="D70" t="str">
        <f>VLOOKUP(A70, Master_Roster!A$2:E$101, 5, FALSE)</f>
        <v>Full-Time</v>
      </c>
      <c r="E70" s="25">
        <f>VLOOKUP(A70, Master_Roster!A$2:F$101, 6, FALSE)</f>
        <v>7200</v>
      </c>
      <c r="F70">
        <f ca="1">VLOOKUP(A70, Matrix_Attendance_Tracker!A$4:AJ$103, 34, FALSE)</f>
        <v>10</v>
      </c>
      <c r="G70" s="23">
        <f t="shared" ca="1" si="3"/>
        <v>250</v>
      </c>
      <c r="H70" s="23">
        <f t="shared" ca="1" si="4"/>
        <v>3019.23</v>
      </c>
      <c r="I70" s="25">
        <f ca="1">ROUND(H70 * VLOOKUP(A70, Master_Roster!A$2:H$101, 8, FALSE), 2)</f>
        <v>603.85</v>
      </c>
      <c r="J70" s="23">
        <f t="shared" ca="1" si="5"/>
        <v>2415.38</v>
      </c>
    </row>
    <row r="71" spans="1:10">
      <c r="A71" t="str">
        <f>Master_Roster!A69</f>
        <v>EMP-1068</v>
      </c>
      <c r="B71" t="str">
        <f>VLOOKUP(A71, Master_Roster!A$2:B$101, 2, FALSE)</f>
        <v>Bella Watson</v>
      </c>
      <c r="C71" t="str">
        <f>VLOOKUP(A71, Master_Roster!A$2:C$101, 3, FALSE)</f>
        <v>Marketing</v>
      </c>
      <c r="D71" t="str">
        <f>VLOOKUP(A71, Master_Roster!A$2:E$101, 5, FALSE)</f>
        <v>Contract</v>
      </c>
      <c r="E71" s="25">
        <f>VLOOKUP(A71, Master_Roster!A$2:F$101, 6, FALSE)</f>
        <v>0</v>
      </c>
      <c r="F71">
        <f ca="1">VLOOKUP(A71, Matrix_Attendance_Tracker!A$4:AJ$103, 34, FALSE)</f>
        <v>12</v>
      </c>
      <c r="G71" s="23">
        <f t="shared" ca="1" si="3"/>
        <v>480</v>
      </c>
      <c r="H71" s="23">
        <f t="shared" ca="1" si="4"/>
        <v>2400</v>
      </c>
      <c r="I71" s="25">
        <f ca="1">ROUND(H71 * VLOOKUP(A71, Master_Roster!A$2:H$101, 8, FALSE), 2)</f>
        <v>240</v>
      </c>
      <c r="J71" s="23">
        <f t="shared" ca="1" si="5"/>
        <v>2160</v>
      </c>
    </row>
    <row r="72" spans="1:10">
      <c r="A72" t="str">
        <f>Master_Roster!A70</f>
        <v>EMP-1069</v>
      </c>
      <c r="B72" t="str">
        <f>VLOOKUP(A72, Master_Roster!A$2:B$101, 2, FALSE)</f>
        <v>Eli Brooks</v>
      </c>
      <c r="C72" t="str">
        <f>VLOOKUP(A72, Master_Roster!A$2:C$101, 3, FALSE)</f>
        <v>Sales</v>
      </c>
      <c r="D72" t="str">
        <f>VLOOKUP(A72, Master_Roster!A$2:E$101, 5, FALSE)</f>
        <v>Full-Time</v>
      </c>
      <c r="E72" s="25">
        <f>VLOOKUP(A72, Master_Roster!A$2:F$101, 6, FALSE)</f>
        <v>8100</v>
      </c>
      <c r="F72">
        <f ca="1">VLOOKUP(A72, Matrix_Attendance_Tracker!A$4:AJ$103, 34, FALSE)</f>
        <v>14</v>
      </c>
      <c r="G72" s="23">
        <f t="shared" ca="1" si="3"/>
        <v>350</v>
      </c>
      <c r="H72" s="23">
        <f t="shared" ca="1" si="4"/>
        <v>4711.54</v>
      </c>
      <c r="I72" s="25">
        <f ca="1">ROUND(H72 * VLOOKUP(A72, Master_Roster!A$2:H$101, 8, FALSE), 2)</f>
        <v>1036.54</v>
      </c>
      <c r="J72" s="23">
        <f t="shared" ca="1" si="5"/>
        <v>3675</v>
      </c>
    </row>
    <row r="73" spans="1:10">
      <c r="A73" t="str">
        <f>Master_Roster!A71</f>
        <v>EMP-1070</v>
      </c>
      <c r="B73" t="str">
        <f>VLOOKUP(A73, Master_Roster!A$2:B$101, 2, FALSE)</f>
        <v>Skylar Kelly</v>
      </c>
      <c r="C73" t="str">
        <f>VLOOKUP(A73, Master_Roster!A$2:C$101, 3, FALSE)</f>
        <v>Operations</v>
      </c>
      <c r="D73" t="str">
        <f>VLOOKUP(A73, Master_Roster!A$2:E$101, 5, FALSE)</f>
        <v>Full-Time</v>
      </c>
      <c r="E73" s="25">
        <f>VLOOKUP(A73, Master_Roster!A$2:F$101, 6, FALSE)</f>
        <v>5700</v>
      </c>
      <c r="F73">
        <f ca="1">VLOOKUP(A73, Matrix_Attendance_Tracker!A$4:AJ$103, 34, FALSE)</f>
        <v>9</v>
      </c>
      <c r="G73" s="23">
        <f t="shared" ca="1" si="3"/>
        <v>225</v>
      </c>
      <c r="H73" s="23">
        <f t="shared" ca="1" si="4"/>
        <v>2198.08</v>
      </c>
      <c r="I73" s="25">
        <f ca="1">ROUND(H73 * VLOOKUP(A73, Master_Roster!A$2:H$101, 8, FALSE), 2)</f>
        <v>329.71</v>
      </c>
      <c r="J73" s="23">
        <f t="shared" ca="1" si="5"/>
        <v>1868.37</v>
      </c>
    </row>
    <row r="74" spans="1:10">
      <c r="A74" t="str">
        <f>Master_Roster!A72</f>
        <v>EMP-1071</v>
      </c>
      <c r="B74" t="str">
        <f>VLOOKUP(A74, Master_Roster!A$2:B$101, 2, FALSE)</f>
        <v>Jonathan Sanders</v>
      </c>
      <c r="C74" t="str">
        <f>VLOOKUP(A74, Master_Roster!A$2:C$101, 3, FALSE)</f>
        <v>Engineering</v>
      </c>
      <c r="D74" t="str">
        <f>VLOOKUP(A74, Master_Roster!A$2:E$101, 5, FALSE)</f>
        <v>Full-Time</v>
      </c>
      <c r="E74" s="25">
        <f>VLOOKUP(A74, Master_Roster!A$2:F$101, 6, FALSE)</f>
        <v>10200</v>
      </c>
      <c r="F74">
        <f ca="1">VLOOKUP(A74, Matrix_Attendance_Tracker!A$4:AJ$103, 34, FALSE)</f>
        <v>13</v>
      </c>
      <c r="G74" s="23">
        <f t="shared" ca="1" si="3"/>
        <v>325</v>
      </c>
      <c r="H74" s="23">
        <f t="shared" ca="1" si="4"/>
        <v>5425</v>
      </c>
      <c r="I74" s="25">
        <f ca="1">ROUND(H74 * VLOOKUP(A74, Master_Roster!A$2:H$101, 8, FALSE), 2)</f>
        <v>1356.25</v>
      </c>
      <c r="J74" s="23">
        <f t="shared" ca="1" si="5"/>
        <v>4068.75</v>
      </c>
    </row>
    <row r="75" spans="1:10">
      <c r="A75" t="str">
        <f>Master_Roster!A73</f>
        <v>EMP-1072</v>
      </c>
      <c r="B75" t="str">
        <f>VLOOKUP(A75, Master_Roster!A$2:B$101, 2, FALSE)</f>
        <v>Paisley Price</v>
      </c>
      <c r="C75" t="str">
        <f>VLOOKUP(A75, Master_Roster!A$2:C$101, 3, FALSE)</f>
        <v>Data Analytics</v>
      </c>
      <c r="D75" t="str">
        <f>VLOOKUP(A75, Master_Roster!A$2:E$101, 5, FALSE)</f>
        <v>Full-Time</v>
      </c>
      <c r="E75" s="25">
        <f>VLOOKUP(A75, Master_Roster!A$2:F$101, 6, FALSE)</f>
        <v>6100</v>
      </c>
      <c r="F75">
        <f ca="1">VLOOKUP(A75, Matrix_Attendance_Tracker!A$4:AJ$103, 34, FALSE)</f>
        <v>8</v>
      </c>
      <c r="G75" s="23">
        <f t="shared" ca="1" si="3"/>
        <v>200</v>
      </c>
      <c r="H75" s="23">
        <f t="shared" ca="1" si="4"/>
        <v>2076.92</v>
      </c>
      <c r="I75" s="25">
        <f ca="1">ROUND(H75 * VLOOKUP(A75, Master_Roster!A$2:H$101, 8, FALSE), 2)</f>
        <v>373.85</v>
      </c>
      <c r="J75" s="23">
        <f t="shared" ca="1" si="5"/>
        <v>1703.07</v>
      </c>
    </row>
    <row r="76" spans="1:10">
      <c r="A76" t="str">
        <f>Master_Roster!A74</f>
        <v>EMP-1073</v>
      </c>
      <c r="B76" t="str">
        <f>VLOOKUP(A76, Master_Roster!A$2:B$101, 2, FALSE)</f>
        <v>Nolan Bennett</v>
      </c>
      <c r="C76" t="str">
        <f>VLOOKUP(A76, Master_Roster!A$2:C$101, 3, FALSE)</f>
        <v>HR</v>
      </c>
      <c r="D76" t="str">
        <f>VLOOKUP(A76, Master_Roster!A$2:E$101, 5, FALSE)</f>
        <v>Full-Time</v>
      </c>
      <c r="E76" s="25">
        <f>VLOOKUP(A76, Master_Roster!A$2:F$101, 6, FALSE)</f>
        <v>5300</v>
      </c>
      <c r="F76">
        <f ca="1">VLOOKUP(A76, Matrix_Attendance_Tracker!A$4:AJ$103, 34, FALSE)</f>
        <v>12</v>
      </c>
      <c r="G76" s="23">
        <f t="shared" ca="1" si="3"/>
        <v>300</v>
      </c>
      <c r="H76" s="23">
        <f t="shared" ca="1" si="4"/>
        <v>2746.15</v>
      </c>
      <c r="I76" s="25">
        <f ca="1">ROUND(H76 * VLOOKUP(A76, Master_Roster!A$2:H$101, 8, FALSE), 2)</f>
        <v>411.92</v>
      </c>
      <c r="J76" s="23">
        <f t="shared" ca="1" si="5"/>
        <v>2334.23</v>
      </c>
    </row>
    <row r="77" spans="1:10">
      <c r="A77" t="str">
        <f>Master_Roster!A75</f>
        <v>EMP-1074</v>
      </c>
      <c r="B77" t="str">
        <f>VLOOKUP(A77, Master_Roster!A$2:B$101, 2, FALSE)</f>
        <v>Caroline Wood</v>
      </c>
      <c r="C77" t="str">
        <f>VLOOKUP(A77, Master_Roster!A$2:C$101, 3, FALSE)</f>
        <v>Finance</v>
      </c>
      <c r="D77" t="str">
        <f>VLOOKUP(A77, Master_Roster!A$2:E$101, 5, FALSE)</f>
        <v>Full-Time</v>
      </c>
      <c r="E77" s="25">
        <f>VLOOKUP(A77, Master_Roster!A$2:F$101, 6, FALSE)</f>
        <v>7900</v>
      </c>
      <c r="F77">
        <f ca="1">VLOOKUP(A77, Matrix_Attendance_Tracker!A$4:AJ$103, 34, FALSE)</f>
        <v>8</v>
      </c>
      <c r="G77" s="23">
        <f t="shared" ca="1" si="3"/>
        <v>200</v>
      </c>
      <c r="H77" s="23">
        <f t="shared" ca="1" si="4"/>
        <v>2630.77</v>
      </c>
      <c r="I77" s="25">
        <f ca="1">ROUND(H77 * VLOOKUP(A77, Master_Roster!A$2:H$101, 8, FALSE), 2)</f>
        <v>526.15</v>
      </c>
      <c r="J77" s="23">
        <f t="shared" ca="1" si="5"/>
        <v>2104.62</v>
      </c>
    </row>
    <row r="78" spans="1:10">
      <c r="A78" t="str">
        <f>Master_Roster!A76</f>
        <v>EMP-1075</v>
      </c>
      <c r="B78" t="str">
        <f>VLOOKUP(A78, Master_Roster!A$2:B$101, 2, FALSE)</f>
        <v>Dominic Barnes</v>
      </c>
      <c r="C78" t="str">
        <f>VLOOKUP(A78, Master_Roster!A$2:C$101, 3, FALSE)</f>
        <v>Marketing</v>
      </c>
      <c r="D78" t="str">
        <f>VLOOKUP(A78, Master_Roster!A$2:E$101, 5, FALSE)</f>
        <v>Full-Time</v>
      </c>
      <c r="E78" s="25">
        <f>VLOOKUP(A78, Master_Roster!A$2:F$101, 6, FALSE)</f>
        <v>8300</v>
      </c>
      <c r="F78">
        <f ca="1">VLOOKUP(A78, Matrix_Attendance_Tracker!A$4:AJ$103, 34, FALSE)</f>
        <v>10</v>
      </c>
      <c r="G78" s="23">
        <f t="shared" ca="1" si="3"/>
        <v>250</v>
      </c>
      <c r="H78" s="23">
        <f t="shared" ca="1" si="4"/>
        <v>3442.31</v>
      </c>
      <c r="I78" s="25">
        <f ca="1">ROUND(H78 * VLOOKUP(A78, Master_Roster!A$2:H$101, 8, FALSE), 2)</f>
        <v>757.31</v>
      </c>
      <c r="J78" s="23">
        <f t="shared" ca="1" si="5"/>
        <v>2685</v>
      </c>
    </row>
    <row r="79" spans="1:10">
      <c r="A79" t="str">
        <f>Master_Roster!A77</f>
        <v>EMP-1076</v>
      </c>
      <c r="B79" t="str">
        <f>VLOOKUP(A79, Master_Roster!A$2:B$101, 2, FALSE)</f>
        <v>Madelyn Ross</v>
      </c>
      <c r="C79" t="str">
        <f>VLOOKUP(A79, Master_Roster!A$2:C$101, 3, FALSE)</f>
        <v>Sales</v>
      </c>
      <c r="D79" t="str">
        <f>VLOOKUP(A79, Master_Roster!A$2:E$101, 5, FALSE)</f>
        <v>Full-Time</v>
      </c>
      <c r="E79" s="25">
        <f>VLOOKUP(A79, Master_Roster!A$2:F$101, 6, FALSE)</f>
        <v>4500</v>
      </c>
      <c r="F79">
        <f ca="1">VLOOKUP(A79, Matrix_Attendance_Tracker!A$4:AJ$103, 34, FALSE)</f>
        <v>5</v>
      </c>
      <c r="G79" s="23">
        <f t="shared" ca="1" si="3"/>
        <v>125</v>
      </c>
      <c r="H79" s="23">
        <f t="shared" ca="1" si="4"/>
        <v>990.38</v>
      </c>
      <c r="I79" s="25">
        <f ca="1">ROUND(H79 * VLOOKUP(A79, Master_Roster!A$2:H$101, 8, FALSE), 2)</f>
        <v>99.04</v>
      </c>
      <c r="J79" s="23">
        <f t="shared" ca="1" si="5"/>
        <v>891.34</v>
      </c>
    </row>
    <row r="80" spans="1:10">
      <c r="A80" t="str">
        <f>Master_Roster!A78</f>
        <v>EMP-1077</v>
      </c>
      <c r="B80" t="str">
        <f>VLOOKUP(A80, Master_Roster!A$2:B$101, 2, FALSE)</f>
        <v>Lincoln Henderson</v>
      </c>
      <c r="C80" t="str">
        <f>VLOOKUP(A80, Master_Roster!A$2:C$101, 3, FALSE)</f>
        <v>Operations</v>
      </c>
      <c r="D80" t="str">
        <f>VLOOKUP(A80, Master_Roster!A$2:E$101, 5, FALSE)</f>
        <v>Full-Time</v>
      </c>
      <c r="E80" s="25">
        <f>VLOOKUP(A80, Master_Roster!A$2:F$101, 6, FALSE)</f>
        <v>5600</v>
      </c>
      <c r="F80">
        <f ca="1">VLOOKUP(A80, Matrix_Attendance_Tracker!A$4:AJ$103, 34, FALSE)</f>
        <v>11</v>
      </c>
      <c r="G80" s="23">
        <f t="shared" ca="1" si="3"/>
        <v>275</v>
      </c>
      <c r="H80" s="23">
        <f t="shared" ca="1" si="4"/>
        <v>2644.23</v>
      </c>
      <c r="I80" s="25">
        <f ca="1">ROUND(H80 * VLOOKUP(A80, Master_Roster!A$2:H$101, 8, FALSE), 2)</f>
        <v>396.63</v>
      </c>
      <c r="J80" s="23">
        <f t="shared" ca="1" si="5"/>
        <v>2247.6</v>
      </c>
    </row>
    <row r="81" spans="1:10">
      <c r="A81" t="str">
        <f>Master_Roster!A79</f>
        <v>EMP-1078</v>
      </c>
      <c r="B81" t="str">
        <f>VLOOKUP(A81, Master_Roster!A$2:B$101, 2, FALSE)</f>
        <v>Sarah Coleman</v>
      </c>
      <c r="C81" t="str">
        <f>VLOOKUP(A81, Master_Roster!A$2:C$101, 3, FALSE)</f>
        <v>Engineering</v>
      </c>
      <c r="D81" t="str">
        <f>VLOOKUP(A81, Master_Roster!A$2:E$101, 5, FALSE)</f>
        <v>Contract</v>
      </c>
      <c r="E81" s="25">
        <f>VLOOKUP(A81, Master_Roster!A$2:F$101, 6, FALSE)</f>
        <v>0</v>
      </c>
      <c r="F81">
        <f ca="1">VLOOKUP(A81, Matrix_Attendance_Tracker!A$4:AJ$103, 34, FALSE)</f>
        <v>5</v>
      </c>
      <c r="G81" s="23">
        <f t="shared" ca="1" si="3"/>
        <v>200</v>
      </c>
      <c r="H81" s="23">
        <f t="shared" ca="1" si="4"/>
        <v>1000</v>
      </c>
      <c r="I81" s="25">
        <f ca="1">ROUND(H81 * VLOOKUP(A81, Master_Roster!A$2:H$101, 8, FALSE), 2)</f>
        <v>150</v>
      </c>
      <c r="J81" s="23">
        <f t="shared" ca="1" si="5"/>
        <v>850</v>
      </c>
    </row>
    <row r="82" spans="1:10">
      <c r="A82" t="str">
        <f>Master_Roster!A80</f>
        <v>EMP-1079</v>
      </c>
      <c r="B82" t="str">
        <f>VLOOKUP(A82, Master_Roster!A$2:B$101, 2, FALSE)</f>
        <v>Landon Jenkins</v>
      </c>
      <c r="C82" t="str">
        <f>VLOOKUP(A82, Master_Roster!A$2:C$101, 3, FALSE)</f>
        <v>Data Analytics</v>
      </c>
      <c r="D82" t="str">
        <f>VLOOKUP(A82, Master_Roster!A$2:E$101, 5, FALSE)</f>
        <v>Full-Time</v>
      </c>
      <c r="E82" s="25">
        <f>VLOOKUP(A82, Master_Roster!A$2:F$101, 6, FALSE)</f>
        <v>9100</v>
      </c>
      <c r="F82">
        <f ca="1">VLOOKUP(A82, Matrix_Attendance_Tracker!A$4:AJ$103, 34, FALSE)</f>
        <v>5</v>
      </c>
      <c r="G82" s="23">
        <f t="shared" ca="1" si="3"/>
        <v>125</v>
      </c>
      <c r="H82" s="23">
        <f t="shared" ca="1" si="4"/>
        <v>1875</v>
      </c>
      <c r="I82" s="25">
        <f ca="1">ROUND(H82 * VLOOKUP(A82, Master_Roster!A$2:H$101, 8, FALSE), 2)</f>
        <v>468.75</v>
      </c>
      <c r="J82" s="23">
        <f t="shared" ca="1" si="5"/>
        <v>1406.25</v>
      </c>
    </row>
    <row r="83" spans="1:10">
      <c r="A83" t="str">
        <f>Master_Roster!A81</f>
        <v>EMP-1080</v>
      </c>
      <c r="B83" t="str">
        <f>VLOOKUP(A83, Master_Roster!A$2:B$101, 2, FALSE)</f>
        <v>Kinsley Perry</v>
      </c>
      <c r="C83" t="str">
        <f>VLOOKUP(A83, Master_Roster!A$2:C$101, 3, FALSE)</f>
        <v>HR</v>
      </c>
      <c r="D83" t="str">
        <f>VLOOKUP(A83, Master_Roster!A$2:E$101, 5, FALSE)</f>
        <v>Contract</v>
      </c>
      <c r="E83" s="25">
        <f>VLOOKUP(A83, Master_Roster!A$2:F$101, 6, FALSE)</f>
        <v>0</v>
      </c>
      <c r="F83">
        <f ca="1">VLOOKUP(A83, Matrix_Attendance_Tracker!A$4:AJ$103, 34, FALSE)</f>
        <v>10</v>
      </c>
      <c r="G83" s="23">
        <f t="shared" ca="1" si="3"/>
        <v>400</v>
      </c>
      <c r="H83" s="23">
        <f t="shared" ca="1" si="4"/>
        <v>2000</v>
      </c>
      <c r="I83" s="25">
        <f ca="1">ROUND(H83 * VLOOKUP(A83, Master_Roster!A$2:H$101, 8, FALSE), 2)</f>
        <v>300</v>
      </c>
      <c r="J83" s="23">
        <f t="shared" ca="1" si="5"/>
        <v>1700</v>
      </c>
    </row>
    <row r="84" spans="1:10">
      <c r="A84" t="str">
        <f>Master_Roster!A82</f>
        <v>EMP-1081</v>
      </c>
      <c r="B84" t="str">
        <f>VLOOKUP(A84, Master_Roster!A$2:B$101, 2, FALSE)</f>
        <v>Aaron Powell</v>
      </c>
      <c r="C84" t="str">
        <f>VLOOKUP(A84, Master_Roster!A$2:C$101, 3, FALSE)</f>
        <v>Finance</v>
      </c>
      <c r="D84" t="str">
        <f>VLOOKUP(A84, Master_Roster!A$2:E$101, 5, FALSE)</f>
        <v>Full-Time</v>
      </c>
      <c r="E84" s="25">
        <f>VLOOKUP(A84, Master_Roster!A$2:F$101, 6, FALSE)</f>
        <v>8700</v>
      </c>
      <c r="F84">
        <f ca="1">VLOOKUP(A84, Matrix_Attendance_Tracker!A$4:AJ$103, 34, FALSE)</f>
        <v>12</v>
      </c>
      <c r="G84" s="23">
        <f t="shared" ca="1" si="3"/>
        <v>300</v>
      </c>
      <c r="H84" s="23">
        <f t="shared" ca="1" si="4"/>
        <v>4315.38</v>
      </c>
      <c r="I84" s="25">
        <f ca="1">ROUND(H84 * VLOOKUP(A84, Master_Roster!A$2:H$101, 8, FALSE), 2)</f>
        <v>1078.8499999999999</v>
      </c>
      <c r="J84" s="23">
        <f t="shared" ca="1" si="5"/>
        <v>3236.53</v>
      </c>
    </row>
    <row r="85" spans="1:10">
      <c r="A85" t="str">
        <f>Master_Roster!A83</f>
        <v>EMP-1082</v>
      </c>
      <c r="B85" t="str">
        <f>VLOOKUP(A85, Master_Roster!A$2:B$101, 2, FALSE)</f>
        <v>Emilia Long</v>
      </c>
      <c r="C85" t="str">
        <f>VLOOKUP(A85, Master_Roster!A$2:C$101, 3, FALSE)</f>
        <v>Marketing</v>
      </c>
      <c r="D85" t="str">
        <f>VLOOKUP(A85, Master_Roster!A$2:E$101, 5, FALSE)</f>
        <v>Full-Time</v>
      </c>
      <c r="E85" s="25">
        <f>VLOOKUP(A85, Master_Roster!A$2:F$101, 6, FALSE)</f>
        <v>11000</v>
      </c>
      <c r="F85">
        <f ca="1">VLOOKUP(A85, Matrix_Attendance_Tracker!A$4:AJ$103, 34, FALSE)</f>
        <v>10</v>
      </c>
      <c r="G85" s="23">
        <f t="shared" ca="1" si="3"/>
        <v>250</v>
      </c>
      <c r="H85" s="23">
        <f t="shared" ca="1" si="4"/>
        <v>4480.7700000000004</v>
      </c>
      <c r="I85" s="25">
        <f ca="1">ROUND(H85 * VLOOKUP(A85, Master_Roster!A$2:H$101, 8, FALSE), 2)</f>
        <v>1120.19</v>
      </c>
      <c r="J85" s="23">
        <f t="shared" ca="1" si="5"/>
        <v>3360.58</v>
      </c>
    </row>
    <row r="86" spans="1:10">
      <c r="A86" t="str">
        <f>Master_Roster!A84</f>
        <v>EMP-1083</v>
      </c>
      <c r="B86" t="str">
        <f>VLOOKUP(A86, Master_Roster!A$2:B$101, 2, FALSE)</f>
        <v>Thomas Patterson</v>
      </c>
      <c r="C86" t="str">
        <f>VLOOKUP(A86, Master_Roster!A$2:C$101, 3, FALSE)</f>
        <v>Sales</v>
      </c>
      <c r="D86" t="str">
        <f>VLOOKUP(A86, Master_Roster!A$2:E$101, 5, FALSE)</f>
        <v>Full-Time</v>
      </c>
      <c r="E86" s="25">
        <f>VLOOKUP(A86, Master_Roster!A$2:F$101, 6, FALSE)</f>
        <v>8900</v>
      </c>
      <c r="F86">
        <f ca="1">VLOOKUP(A86, Matrix_Attendance_Tracker!A$4:AJ$103, 34, FALSE)</f>
        <v>11</v>
      </c>
      <c r="G86" s="23">
        <f t="shared" ca="1" si="3"/>
        <v>275</v>
      </c>
      <c r="H86" s="23">
        <f t="shared" ca="1" si="4"/>
        <v>4040.38</v>
      </c>
      <c r="I86" s="25">
        <f ca="1">ROUND(H86 * VLOOKUP(A86, Master_Roster!A$2:H$101, 8, FALSE), 2)</f>
        <v>1010.1</v>
      </c>
      <c r="J86" s="23">
        <f t="shared" ca="1" si="5"/>
        <v>3030.28</v>
      </c>
    </row>
    <row r="87" spans="1:10">
      <c r="A87" t="str">
        <f>Master_Roster!A85</f>
        <v>EMP-1084</v>
      </c>
      <c r="B87" t="str">
        <f>VLOOKUP(A87, Master_Roster!A$2:B$101, 2, FALSE)</f>
        <v>Elena Hughes</v>
      </c>
      <c r="C87" t="str">
        <f>VLOOKUP(A87, Master_Roster!A$2:C$101, 3, FALSE)</f>
        <v>Operations</v>
      </c>
      <c r="D87" t="str">
        <f>VLOOKUP(A87, Master_Roster!A$2:E$101, 5, FALSE)</f>
        <v>Full-Time</v>
      </c>
      <c r="E87" s="25">
        <f>VLOOKUP(A87, Master_Roster!A$2:F$101, 6, FALSE)</f>
        <v>7500</v>
      </c>
      <c r="F87">
        <f ca="1">VLOOKUP(A87, Matrix_Attendance_Tracker!A$4:AJ$103, 34, FALSE)</f>
        <v>16</v>
      </c>
      <c r="G87" s="23">
        <f t="shared" ca="1" si="3"/>
        <v>400</v>
      </c>
      <c r="H87" s="23">
        <f t="shared" ca="1" si="4"/>
        <v>5015.38</v>
      </c>
      <c r="I87" s="25">
        <f ca="1">ROUND(H87 * VLOOKUP(A87, Master_Roster!A$2:H$101, 8, FALSE), 2)</f>
        <v>1003.08</v>
      </c>
      <c r="J87" s="23">
        <f t="shared" ca="1" si="5"/>
        <v>4012.3</v>
      </c>
    </row>
    <row r="88" spans="1:10">
      <c r="A88" t="str">
        <f>Master_Roster!A86</f>
        <v>EMP-1085</v>
      </c>
      <c r="B88" t="str">
        <f>VLOOKUP(A88, Master_Roster!A$2:B$101, 2, FALSE)</f>
        <v>Charles Flores</v>
      </c>
      <c r="C88" t="str">
        <f>VLOOKUP(A88, Master_Roster!A$2:C$101, 3, FALSE)</f>
        <v>Engineering</v>
      </c>
      <c r="D88" t="str">
        <f>VLOOKUP(A88, Master_Roster!A$2:E$101, 5, FALSE)</f>
        <v>Full-Time</v>
      </c>
      <c r="E88" s="25">
        <f>VLOOKUP(A88, Master_Roster!A$2:F$101, 6, FALSE)</f>
        <v>8800</v>
      </c>
      <c r="F88">
        <f ca="1">VLOOKUP(A88, Matrix_Attendance_Tracker!A$4:AJ$103, 34, FALSE)</f>
        <v>9</v>
      </c>
      <c r="G88" s="23">
        <f t="shared" ca="1" si="3"/>
        <v>225</v>
      </c>
      <c r="H88" s="23">
        <f t="shared" ca="1" si="4"/>
        <v>3271.15</v>
      </c>
      <c r="I88" s="25">
        <f ca="1">ROUND(H88 * VLOOKUP(A88, Master_Roster!A$2:H$101, 8, FALSE), 2)</f>
        <v>817.79</v>
      </c>
      <c r="J88" s="23">
        <f t="shared" ca="1" si="5"/>
        <v>2453.36</v>
      </c>
    </row>
    <row r="89" spans="1:10">
      <c r="A89" t="str">
        <f>Master_Roster!A87</f>
        <v>EMP-1086</v>
      </c>
      <c r="B89" t="str">
        <f>VLOOKUP(A89, Master_Roster!A$2:B$101, 2, FALSE)</f>
        <v>Lucy Washington</v>
      </c>
      <c r="C89" t="str">
        <f>VLOOKUP(A89, Master_Roster!A$2:C$101, 3, FALSE)</f>
        <v>Data Analytics</v>
      </c>
      <c r="D89" t="str">
        <f>VLOOKUP(A89, Master_Roster!A$2:E$101, 5, FALSE)</f>
        <v>Full-Time</v>
      </c>
      <c r="E89" s="25">
        <f>VLOOKUP(A89, Master_Roster!A$2:F$101, 6, FALSE)</f>
        <v>7000</v>
      </c>
      <c r="F89">
        <f ca="1">VLOOKUP(A89, Matrix_Attendance_Tracker!A$4:AJ$103, 34, FALSE)</f>
        <v>9</v>
      </c>
      <c r="G89" s="23">
        <f t="shared" ca="1" si="3"/>
        <v>225</v>
      </c>
      <c r="H89" s="23">
        <f t="shared" ca="1" si="4"/>
        <v>2648.08</v>
      </c>
      <c r="I89" s="25">
        <f ca="1">ROUND(H89 * VLOOKUP(A89, Master_Roster!A$2:H$101, 8, FALSE), 2)</f>
        <v>476.65</v>
      </c>
      <c r="J89" s="23">
        <f t="shared" ca="1" si="5"/>
        <v>2171.4299999999998</v>
      </c>
    </row>
    <row r="90" spans="1:10">
      <c r="A90" t="str">
        <f>Master_Roster!A88</f>
        <v>EMP-1087</v>
      </c>
      <c r="B90" t="str">
        <f>VLOOKUP(A90, Master_Roster!A$2:B$101, 2, FALSE)</f>
        <v>Connor Butler</v>
      </c>
      <c r="C90" t="str">
        <f>VLOOKUP(A90, Master_Roster!A$2:C$101, 3, FALSE)</f>
        <v>HR</v>
      </c>
      <c r="D90" t="str">
        <f>VLOOKUP(A90, Master_Roster!A$2:E$101, 5, FALSE)</f>
        <v>Full-Time</v>
      </c>
      <c r="E90" s="25">
        <f>VLOOKUP(A90, Master_Roster!A$2:F$101, 6, FALSE)</f>
        <v>4800</v>
      </c>
      <c r="F90">
        <f ca="1">VLOOKUP(A90, Matrix_Attendance_Tracker!A$4:AJ$103, 34, FALSE)</f>
        <v>14</v>
      </c>
      <c r="G90" s="23">
        <f t="shared" ca="1" si="3"/>
        <v>350</v>
      </c>
      <c r="H90" s="23">
        <f t="shared" ca="1" si="4"/>
        <v>2934.62</v>
      </c>
      <c r="I90" s="25">
        <f ca="1">ROUND(H90 * VLOOKUP(A90, Master_Roster!A$2:H$101, 8, FALSE), 2)</f>
        <v>352.15</v>
      </c>
      <c r="J90" s="23">
        <f t="shared" ca="1" si="5"/>
        <v>2582.4699999999998</v>
      </c>
    </row>
    <row r="91" spans="1:10">
      <c r="A91" t="str">
        <f>Master_Roster!A89</f>
        <v>EMP-1088</v>
      </c>
      <c r="B91" t="str">
        <f>VLOOKUP(A91, Master_Roster!A$2:B$101, 2, FALSE)</f>
        <v>Clara Simmons</v>
      </c>
      <c r="C91" t="str">
        <f>VLOOKUP(A91, Master_Roster!A$2:C$101, 3, FALSE)</f>
        <v>Finance</v>
      </c>
      <c r="D91" t="str">
        <f>VLOOKUP(A91, Master_Roster!A$2:E$101, 5, FALSE)</f>
        <v>Full-Time</v>
      </c>
      <c r="E91" s="25">
        <f>VLOOKUP(A91, Master_Roster!A$2:F$101, 6, FALSE)</f>
        <v>6800</v>
      </c>
      <c r="F91">
        <f ca="1">VLOOKUP(A91, Matrix_Attendance_Tracker!A$4:AJ$103, 34, FALSE)</f>
        <v>9</v>
      </c>
      <c r="G91" s="23">
        <f t="shared" ca="1" si="3"/>
        <v>225</v>
      </c>
      <c r="H91" s="23">
        <f t="shared" ca="1" si="4"/>
        <v>2578.85</v>
      </c>
      <c r="I91" s="25">
        <f ca="1">ROUND(H91 * VLOOKUP(A91, Master_Roster!A$2:H$101, 8, FALSE), 2)</f>
        <v>464.19</v>
      </c>
      <c r="J91" s="23">
        <f t="shared" ca="1" si="5"/>
        <v>2114.66</v>
      </c>
    </row>
    <row r="92" spans="1:10">
      <c r="A92" t="str">
        <f>Master_Roster!A90</f>
        <v>EMP-1089</v>
      </c>
      <c r="B92" t="str">
        <f>VLOOKUP(A92, Master_Roster!A$2:B$101, 2, FALSE)</f>
        <v>Jeremiah Foster</v>
      </c>
      <c r="C92" t="str">
        <f>VLOOKUP(A92, Master_Roster!A$2:C$101, 3, FALSE)</f>
        <v>Marketing</v>
      </c>
      <c r="D92" t="str">
        <f>VLOOKUP(A92, Master_Roster!A$2:E$101, 5, FALSE)</f>
        <v>Full-Time</v>
      </c>
      <c r="E92" s="25">
        <f>VLOOKUP(A92, Master_Roster!A$2:F$101, 6, FALSE)</f>
        <v>7600</v>
      </c>
      <c r="F92">
        <f ca="1">VLOOKUP(A92, Matrix_Attendance_Tracker!A$4:AJ$103, 34, FALSE)</f>
        <v>10</v>
      </c>
      <c r="G92" s="23">
        <f t="shared" ca="1" si="3"/>
        <v>250</v>
      </c>
      <c r="H92" s="23">
        <f t="shared" ca="1" si="4"/>
        <v>3173.08</v>
      </c>
      <c r="I92" s="25">
        <f ca="1">ROUND(H92 * VLOOKUP(A92, Master_Roster!A$2:H$101, 8, FALSE), 2)</f>
        <v>634.62</v>
      </c>
      <c r="J92" s="23">
        <f t="shared" ca="1" si="5"/>
        <v>2538.46</v>
      </c>
    </row>
    <row r="93" spans="1:10">
      <c r="A93" t="str">
        <f>Master_Roster!A91</f>
        <v>EMP-1090</v>
      </c>
      <c r="B93" t="str">
        <f>VLOOKUP(A93, Master_Roster!A$2:B$101, 2, FALSE)</f>
        <v>Maya Gonzales</v>
      </c>
      <c r="C93" t="str">
        <f>VLOOKUP(A93, Master_Roster!A$2:C$101, 3, FALSE)</f>
        <v>Sales</v>
      </c>
      <c r="D93" t="str">
        <f>VLOOKUP(A93, Master_Roster!A$2:E$101, 5, FALSE)</f>
        <v>Full-Time</v>
      </c>
      <c r="E93" s="25">
        <f>VLOOKUP(A93, Master_Roster!A$2:F$101, 6, FALSE)</f>
        <v>4600</v>
      </c>
      <c r="F93">
        <f ca="1">VLOOKUP(A93, Matrix_Attendance_Tracker!A$4:AJ$103, 34, FALSE)</f>
        <v>11</v>
      </c>
      <c r="G93" s="23">
        <f t="shared" ca="1" si="3"/>
        <v>275</v>
      </c>
      <c r="H93" s="23">
        <f t="shared" ca="1" si="4"/>
        <v>2221.15</v>
      </c>
      <c r="I93" s="25">
        <f ca="1">ROUND(H93 * VLOOKUP(A93, Master_Roster!A$2:H$101, 8, FALSE), 2)</f>
        <v>222.12</v>
      </c>
      <c r="J93" s="23">
        <f t="shared" ca="1" si="5"/>
        <v>1999.03</v>
      </c>
    </row>
    <row r="94" spans="1:10">
      <c r="A94" t="str">
        <f>Master_Roster!A92</f>
        <v>EMP-1091</v>
      </c>
      <c r="B94" t="str">
        <f>VLOOKUP(A94, Master_Roster!A$2:B$101, 2, FALSE)</f>
        <v>Easton Bryant</v>
      </c>
      <c r="C94" t="str">
        <f>VLOOKUP(A94, Master_Roster!A$2:C$101, 3, FALSE)</f>
        <v>Operations</v>
      </c>
      <c r="D94" t="str">
        <f>VLOOKUP(A94, Master_Roster!A$2:E$101, 5, FALSE)</f>
        <v>Full-Time</v>
      </c>
      <c r="E94" s="25">
        <f>VLOOKUP(A94, Master_Roster!A$2:F$101, 6, FALSE)</f>
        <v>8000</v>
      </c>
      <c r="F94">
        <f ca="1">VLOOKUP(A94, Matrix_Attendance_Tracker!A$4:AJ$103, 34, FALSE)</f>
        <v>9</v>
      </c>
      <c r="G94" s="23">
        <f t="shared" ca="1" si="3"/>
        <v>225</v>
      </c>
      <c r="H94" s="23">
        <f t="shared" ca="1" si="4"/>
        <v>2994.23</v>
      </c>
      <c r="I94" s="25">
        <f ca="1">ROUND(H94 * VLOOKUP(A94, Master_Roster!A$2:H$101, 8, FALSE), 2)</f>
        <v>658.73</v>
      </c>
      <c r="J94" s="23">
        <f t="shared" ca="1" si="5"/>
        <v>2335.5</v>
      </c>
    </row>
    <row r="95" spans="1:10">
      <c r="A95" t="str">
        <f>Master_Roster!A93</f>
        <v>EMP-1092</v>
      </c>
      <c r="B95" t="str">
        <f>VLOOKUP(A95, Master_Roster!A$2:B$101, 2, FALSE)</f>
        <v>Allison Alexander</v>
      </c>
      <c r="C95" t="str">
        <f>VLOOKUP(A95, Master_Roster!A$2:C$101, 3, FALSE)</f>
        <v>Engineering</v>
      </c>
      <c r="D95" t="str">
        <f>VLOOKUP(A95, Master_Roster!A$2:E$101, 5, FALSE)</f>
        <v>Full-Time</v>
      </c>
      <c r="E95" s="25">
        <f>VLOOKUP(A95, Master_Roster!A$2:F$101, 6, FALSE)</f>
        <v>9500</v>
      </c>
      <c r="F95">
        <f ca="1">VLOOKUP(A95, Matrix_Attendance_Tracker!A$4:AJ$103, 34, FALSE)</f>
        <v>9</v>
      </c>
      <c r="G95" s="23">
        <f t="shared" ca="1" si="3"/>
        <v>225</v>
      </c>
      <c r="H95" s="23">
        <f t="shared" ca="1" si="4"/>
        <v>3513.46</v>
      </c>
      <c r="I95" s="25">
        <f ca="1">ROUND(H95 * VLOOKUP(A95, Master_Roster!A$2:H$101, 8, FALSE), 2)</f>
        <v>878.37</v>
      </c>
      <c r="J95" s="23">
        <f t="shared" ca="1" si="5"/>
        <v>2635.09</v>
      </c>
    </row>
    <row r="96" spans="1:10">
      <c r="A96" t="str">
        <f>Master_Roster!A94</f>
        <v>EMP-1093</v>
      </c>
      <c r="B96" t="str">
        <f>VLOOKUP(A96, Master_Roster!A$2:B$101, 2, FALSE)</f>
        <v>Leonardo Russell</v>
      </c>
      <c r="C96" t="str">
        <f>VLOOKUP(A96, Master_Roster!A$2:C$101, 3, FALSE)</f>
        <v>Data Analytics</v>
      </c>
      <c r="D96" t="str">
        <f>VLOOKUP(A96, Master_Roster!A$2:E$101, 5, FALSE)</f>
        <v>Full-Time</v>
      </c>
      <c r="E96" s="25">
        <f>VLOOKUP(A96, Master_Roster!A$2:F$101, 6, FALSE)</f>
        <v>5800</v>
      </c>
      <c r="F96">
        <f ca="1">VLOOKUP(A96, Matrix_Attendance_Tracker!A$4:AJ$103, 34, FALSE)</f>
        <v>12</v>
      </c>
      <c r="G96" s="23">
        <f t="shared" ca="1" si="3"/>
        <v>300</v>
      </c>
      <c r="H96" s="23">
        <f t="shared" ca="1" si="4"/>
        <v>2976.92</v>
      </c>
      <c r="I96" s="25">
        <f ca="1">ROUND(H96 * VLOOKUP(A96, Master_Roster!A$2:H$101, 8, FALSE), 2)</f>
        <v>446.54</v>
      </c>
      <c r="J96" s="23">
        <f t="shared" ca="1" si="5"/>
        <v>2530.38</v>
      </c>
    </row>
    <row r="97" spans="1:10">
      <c r="A97" t="str">
        <f>Master_Roster!A95</f>
        <v>EMP-1094</v>
      </c>
      <c r="B97" t="str">
        <f>VLOOKUP(A97, Master_Roster!A$2:B$101, 2, FALSE)</f>
        <v>Samantha Griffin</v>
      </c>
      <c r="C97" t="str">
        <f>VLOOKUP(A97, Master_Roster!A$2:C$101, 3, FALSE)</f>
        <v>HR</v>
      </c>
      <c r="D97" t="str">
        <f>VLOOKUP(A97, Master_Roster!A$2:E$101, 5, FALSE)</f>
        <v>Full-Time</v>
      </c>
      <c r="E97" s="25">
        <f>VLOOKUP(A97, Master_Roster!A$2:F$101, 6, FALSE)</f>
        <v>5600</v>
      </c>
      <c r="F97">
        <f ca="1">VLOOKUP(A97, Matrix_Attendance_Tracker!A$4:AJ$103, 34, FALSE)</f>
        <v>13</v>
      </c>
      <c r="G97" s="23">
        <f t="shared" ca="1" si="3"/>
        <v>325</v>
      </c>
      <c r="H97" s="23">
        <f t="shared" ca="1" si="4"/>
        <v>3125</v>
      </c>
      <c r="I97" s="25">
        <f ca="1">ROUND(H97 * VLOOKUP(A97, Master_Roster!A$2:H$101, 8, FALSE), 2)</f>
        <v>468.75</v>
      </c>
      <c r="J97" s="23">
        <f t="shared" ca="1" si="5"/>
        <v>2656.25</v>
      </c>
    </row>
    <row r="98" spans="1:10">
      <c r="A98" t="str">
        <f>Master_Roster!A96</f>
        <v>EMP-1095</v>
      </c>
      <c r="B98" t="str">
        <f>VLOOKUP(A98, Master_Roster!A$2:B$101, 2, FALSE)</f>
        <v>Cooper Diaz</v>
      </c>
      <c r="C98" t="str">
        <f>VLOOKUP(A98, Master_Roster!A$2:C$101, 3, FALSE)</f>
        <v>Finance</v>
      </c>
      <c r="D98" t="str">
        <f>VLOOKUP(A98, Master_Roster!A$2:E$101, 5, FALSE)</f>
        <v>Full-Time</v>
      </c>
      <c r="E98" s="25">
        <f>VLOOKUP(A98, Master_Roster!A$2:F$101, 6, FALSE)</f>
        <v>7700</v>
      </c>
      <c r="F98">
        <f ca="1">VLOOKUP(A98, Matrix_Attendance_Tracker!A$4:AJ$103, 34, FALSE)</f>
        <v>11</v>
      </c>
      <c r="G98" s="23">
        <f t="shared" ca="1" si="3"/>
        <v>275</v>
      </c>
      <c r="H98" s="23">
        <f t="shared" ca="1" si="4"/>
        <v>3532.69</v>
      </c>
      <c r="I98" s="25">
        <f ca="1">ROUND(H98 * VLOOKUP(A98, Master_Roster!A$2:H$101, 8, FALSE), 2)</f>
        <v>706.54</v>
      </c>
      <c r="J98" s="23">
        <f t="shared" ca="1" si="5"/>
        <v>2826.15</v>
      </c>
    </row>
    <row r="99" spans="1:10">
      <c r="A99" t="str">
        <f>Master_Roster!A97</f>
        <v>EMP-1096</v>
      </c>
      <c r="B99" t="str">
        <f>VLOOKUP(A99, Master_Roster!A$2:B$101, 2, FALSE)</f>
        <v>Maria Hayes</v>
      </c>
      <c r="C99" t="str">
        <f>VLOOKUP(A99, Master_Roster!A$2:C$101, 3, FALSE)</f>
        <v>Marketing</v>
      </c>
      <c r="D99" t="str">
        <f>VLOOKUP(A99, Master_Roster!A$2:E$101, 5, FALSE)</f>
        <v>Contract</v>
      </c>
      <c r="E99" s="25">
        <f>VLOOKUP(A99, Master_Roster!A$2:F$101, 6, FALSE)</f>
        <v>0</v>
      </c>
      <c r="F99">
        <f ca="1">VLOOKUP(A99, Matrix_Attendance_Tracker!A$4:AJ$103, 34, FALSE)</f>
        <v>9</v>
      </c>
      <c r="G99" s="23">
        <f t="shared" ca="1" si="3"/>
        <v>360</v>
      </c>
      <c r="H99" s="23">
        <f t="shared" ca="1" si="4"/>
        <v>1800</v>
      </c>
      <c r="I99" s="25">
        <f ca="1">ROUND(H99 * VLOOKUP(A99, Master_Roster!A$2:H$101, 8, FALSE), 2)</f>
        <v>180</v>
      </c>
      <c r="J99" s="23">
        <f t="shared" ca="1" si="5"/>
        <v>1620</v>
      </c>
    </row>
    <row r="100" spans="1:10">
      <c r="A100" t="str">
        <f>Master_Roster!A98</f>
        <v>EMP-1097</v>
      </c>
      <c r="B100" t="str">
        <f>VLOOKUP(A100, Master_Roster!A$2:B$101, 2, FALSE)</f>
        <v>Mateo Myers</v>
      </c>
      <c r="C100" t="str">
        <f>VLOOKUP(A100, Master_Roster!A$2:C$101, 3, FALSE)</f>
        <v>Sales</v>
      </c>
      <c r="D100" t="str">
        <f>VLOOKUP(A100, Master_Roster!A$2:E$101, 5, FALSE)</f>
        <v>Full-Time</v>
      </c>
      <c r="E100" s="25">
        <f>VLOOKUP(A100, Master_Roster!A$2:F$101, 6, FALSE)</f>
        <v>7200</v>
      </c>
      <c r="F100">
        <f ca="1">VLOOKUP(A100, Matrix_Attendance_Tracker!A$4:AJ$103, 34, FALSE)</f>
        <v>15</v>
      </c>
      <c r="G100" s="23">
        <f t="shared" ca="1" si="3"/>
        <v>375</v>
      </c>
      <c r="H100" s="23">
        <f t="shared" ca="1" si="4"/>
        <v>4528.8500000000004</v>
      </c>
      <c r="I100" s="25">
        <f ca="1">ROUND(H100 * VLOOKUP(A100, Master_Roster!A$2:H$101, 8, FALSE), 2)</f>
        <v>905.77</v>
      </c>
      <c r="J100" s="23">
        <f t="shared" ca="1" si="5"/>
        <v>3623.08</v>
      </c>
    </row>
    <row r="101" spans="1:10">
      <c r="A101" t="str">
        <f>Master_Roster!A99</f>
        <v>EMP-1098</v>
      </c>
      <c r="B101" t="str">
        <f>VLOOKUP(A101, Master_Roster!A$2:B$101, 2, FALSE)</f>
        <v>Sadie Ford</v>
      </c>
      <c r="C101" t="str">
        <f>VLOOKUP(A101, Master_Roster!A$2:C$101, 3, FALSE)</f>
        <v>Operations</v>
      </c>
      <c r="D101" t="str">
        <f>VLOOKUP(A101, Master_Roster!A$2:E$101, 5, FALSE)</f>
        <v>Full-Time</v>
      </c>
      <c r="E101" s="25">
        <f>VLOOKUP(A101, Master_Roster!A$2:F$101, 6, FALSE)</f>
        <v>5300</v>
      </c>
      <c r="F101">
        <f ca="1">VLOOKUP(A101, Matrix_Attendance_Tracker!A$4:AJ$103, 34, FALSE)</f>
        <v>13</v>
      </c>
      <c r="G101" s="23">
        <f t="shared" ca="1" si="3"/>
        <v>325</v>
      </c>
      <c r="H101" s="23">
        <f t="shared" ca="1" si="4"/>
        <v>2975</v>
      </c>
      <c r="I101" s="25">
        <f ca="1">ROUND(H101 * VLOOKUP(A101, Master_Roster!A$2:H$101, 8, FALSE), 2)</f>
        <v>446.25</v>
      </c>
      <c r="J101" s="23">
        <f t="shared" ca="1" si="5"/>
        <v>2528.75</v>
      </c>
    </row>
    <row r="102" spans="1:10">
      <c r="A102" t="str">
        <f>Master_Roster!A100</f>
        <v>EMP-1099</v>
      </c>
      <c r="B102" t="str">
        <f>VLOOKUP(A102, Master_Roster!A$2:B$101, 2, FALSE)</f>
        <v>Miles Hamilton</v>
      </c>
      <c r="C102" t="str">
        <f>VLOOKUP(A102, Master_Roster!A$2:C$101, 3, FALSE)</f>
        <v>Engineering</v>
      </c>
      <c r="D102" t="str">
        <f>VLOOKUP(A102, Master_Roster!A$2:E$101, 5, FALSE)</f>
        <v>Full-Time</v>
      </c>
      <c r="E102" s="25">
        <f>VLOOKUP(A102, Master_Roster!A$2:F$101, 6, FALSE)</f>
        <v>8400</v>
      </c>
      <c r="F102">
        <f ca="1">VLOOKUP(A102, Matrix_Attendance_Tracker!A$4:AJ$103, 34, FALSE)</f>
        <v>12</v>
      </c>
      <c r="G102" s="23">
        <f t="shared" ca="1" si="3"/>
        <v>300</v>
      </c>
      <c r="H102" s="23">
        <f t="shared" ca="1" si="4"/>
        <v>4176.92</v>
      </c>
      <c r="I102" s="25">
        <f ca="1">ROUND(H102 * VLOOKUP(A102, Master_Roster!A$2:H$101, 8, FALSE), 2)</f>
        <v>918.92</v>
      </c>
      <c r="J102" s="23">
        <f t="shared" ca="1" si="5"/>
        <v>3258</v>
      </c>
    </row>
    <row r="103" spans="1:10">
      <c r="A103" t="str">
        <f>Master_Roster!A101</f>
        <v>EMP-1100</v>
      </c>
      <c r="B103" t="str">
        <f>VLOOKUP(A103, Master_Roster!A$2:B$101, 2, FALSE)</f>
        <v>Alice Graham</v>
      </c>
      <c r="C103" t="str">
        <f>VLOOKUP(A103, Master_Roster!A$2:C$101, 3, FALSE)</f>
        <v>Data Analytics</v>
      </c>
      <c r="D103" t="str">
        <f>VLOOKUP(A103, Master_Roster!A$2:E$101, 5, FALSE)</f>
        <v>Full-Time</v>
      </c>
      <c r="E103" s="25">
        <f>VLOOKUP(A103, Master_Roster!A$2:F$101, 6, FALSE)</f>
        <v>6900</v>
      </c>
      <c r="F103">
        <f ca="1">VLOOKUP(A103, Matrix_Attendance_Tracker!A$4:AJ$103, 34, FALSE)</f>
        <v>9</v>
      </c>
      <c r="G103" s="23">
        <f t="shared" ca="1" si="3"/>
        <v>225</v>
      </c>
      <c r="H103" s="23">
        <f t="shared" ca="1" si="4"/>
        <v>2613.46</v>
      </c>
      <c r="I103" s="25">
        <f ca="1">ROUND(H103 * VLOOKUP(A103, Master_Roster!A$2:H$101, 8, FALSE), 2)</f>
        <v>470.42</v>
      </c>
      <c r="J103" s="23">
        <f t="shared" ca="1" si="5"/>
        <v>2143.04</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6DD2-AFCC-43BA-97E4-F1DD9B32F811}">
  <dimension ref="A1:BG72"/>
  <sheetViews>
    <sheetView showGridLines="0" tabSelected="1" zoomScale="62" zoomScaleNormal="37" workbookViewId="0">
      <selection activeCell="R32" sqref="R32"/>
    </sheetView>
  </sheetViews>
  <sheetFormatPr defaultRowHeight="14.4"/>
  <cols>
    <col min="2" max="2" width="14" customWidth="1"/>
    <col min="4" max="4" width="14" customWidth="1"/>
    <col min="6" max="6" width="14" customWidth="1"/>
    <col min="9" max="9" width="8.88671875" style="26"/>
  </cols>
  <sheetData>
    <row r="1" spans="1:59">
      <c r="A1" s="4" t="s">
        <v>426</v>
      </c>
      <c r="B1" s="4"/>
      <c r="C1" s="4"/>
      <c r="D1" s="4"/>
      <c r="E1" s="4"/>
      <c r="F1" s="4"/>
      <c r="G1" s="4"/>
      <c r="H1" s="4"/>
      <c r="I1" s="33"/>
      <c r="J1" s="27" t="s">
        <v>456</v>
      </c>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row>
    <row r="2" spans="1:59">
      <c r="A2" s="5" t="s">
        <v>427</v>
      </c>
      <c r="B2" s="5"/>
      <c r="C2" s="5"/>
      <c r="D2" s="5"/>
      <c r="E2" s="5"/>
      <c r="F2" s="5"/>
      <c r="G2" s="5"/>
      <c r="H2" s="5"/>
      <c r="I2" s="33"/>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row>
    <row r="3" spans="1:59">
      <c r="I3" s="33"/>
      <c r="J3" t="s">
        <v>457</v>
      </c>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row>
    <row r="4" spans="1:59">
      <c r="B4" s="6" t="s">
        <v>428</v>
      </c>
      <c r="C4" s="6"/>
      <c r="D4" s="3" t="s">
        <v>430</v>
      </c>
      <c r="E4" s="3"/>
      <c r="I4" s="33"/>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row>
    <row r="5" spans="1:59">
      <c r="B5" s="6" t="s">
        <v>441</v>
      </c>
      <c r="C5" s="6"/>
      <c r="D5" s="3">
        <v>2018</v>
      </c>
      <c r="E5" s="3"/>
      <c r="I5" s="33"/>
      <c r="J5" t="s">
        <v>458</v>
      </c>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row>
    <row r="6" spans="1:59" ht="15.6">
      <c r="I6" s="33"/>
      <c r="J6" s="28" t="s">
        <v>459</v>
      </c>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row>
    <row r="7" spans="1:59">
      <c r="A7" s="17" t="s">
        <v>452</v>
      </c>
      <c r="B7" s="17"/>
      <c r="C7" s="18" t="s">
        <v>453</v>
      </c>
      <c r="D7" s="18"/>
      <c r="E7" s="19" t="s">
        <v>454</v>
      </c>
      <c r="F7" s="19"/>
      <c r="G7" s="20" t="s">
        <v>455</v>
      </c>
      <c r="H7" s="20"/>
      <c r="I7" s="33"/>
      <c r="J7" s="35" t="s">
        <v>460</v>
      </c>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row>
    <row r="8" spans="1:59" ht="33.6" customHeight="1">
      <c r="A8" s="17"/>
      <c r="B8" s="17"/>
      <c r="C8" s="18"/>
      <c r="D8" s="18"/>
      <c r="E8" s="19"/>
      <c r="F8" s="19"/>
      <c r="G8" s="20"/>
      <c r="H8" s="20"/>
      <c r="I8" s="33"/>
      <c r="J8" s="36" t="s">
        <v>461</v>
      </c>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row>
    <row r="9" spans="1:59">
      <c r="A9" s="3">
        <f>COUNTA(Master_Roster!A$2:A$101)</f>
        <v>100</v>
      </c>
      <c r="B9" s="3"/>
      <c r="C9" s="7">
        <f ca="1">AVERAGE(Matrix_Attendance_Tracker!AH$4:AH$103)/31</f>
        <v>0.33580645161290323</v>
      </c>
      <c r="D9" s="7"/>
      <c r="E9" s="3">
        <f ca="1">SUM(Matrix_Attendance_Tracker!AI$4:AI$103)</f>
        <v>1041</v>
      </c>
      <c r="F9" s="3"/>
      <c r="G9" s="3">
        <f ca="1">SUM(Payroll_Calculator!J$4:J$103)</f>
        <v>242719.97999999995</v>
      </c>
      <c r="H9" s="3"/>
      <c r="I9" s="33"/>
      <c r="J9" s="30" t="s">
        <v>462</v>
      </c>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row>
    <row r="10" spans="1:59">
      <c r="A10" s="3"/>
      <c r="B10" s="3"/>
      <c r="C10" s="7"/>
      <c r="D10" s="7"/>
      <c r="E10" s="3"/>
      <c r="F10" s="3"/>
      <c r="G10" s="3"/>
      <c r="H10" s="3"/>
      <c r="I10" s="33"/>
      <c r="J10" s="32" t="s">
        <v>463</v>
      </c>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row>
    <row r="11" spans="1:59">
      <c r="I11" s="33"/>
      <c r="J11" s="30" t="s">
        <v>464</v>
      </c>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row>
    <row r="12" spans="1:59">
      <c r="I12" s="33"/>
      <c r="J12" s="32" t="s">
        <v>465</v>
      </c>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row>
    <row r="13" spans="1:59">
      <c r="I13" s="33"/>
      <c r="J13" s="30" t="s">
        <v>466</v>
      </c>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row>
    <row r="14" spans="1:59">
      <c r="I14" s="33"/>
      <c r="J14" s="32" t="s">
        <v>474</v>
      </c>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row>
    <row r="15" spans="1:59">
      <c r="I15" s="33"/>
      <c r="J15" s="30" t="s">
        <v>467</v>
      </c>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row>
    <row r="16" spans="1:59">
      <c r="I16" s="33"/>
      <c r="J16" s="32" t="s">
        <v>468</v>
      </c>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row>
    <row r="17" spans="9:59" ht="15.6">
      <c r="I17" s="33"/>
      <c r="J17" s="28" t="s">
        <v>469</v>
      </c>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row>
    <row r="18" spans="9:59">
      <c r="I18" s="33"/>
      <c r="J18" t="s">
        <v>470</v>
      </c>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row>
    <row r="19" spans="9:59" ht="15.6">
      <c r="I19" s="33"/>
      <c r="J19" s="28" t="s">
        <v>471</v>
      </c>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row>
    <row r="20" spans="9:59">
      <c r="I20" s="33"/>
      <c r="J20" t="s">
        <v>472</v>
      </c>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row>
    <row r="21" spans="9:59">
      <c r="I21" s="33"/>
      <c r="J21" t="s">
        <v>473</v>
      </c>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row>
    <row r="22" spans="9:59">
      <c r="I22" s="33"/>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row>
    <row r="23" spans="9:59">
      <c r="I23" s="33"/>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row>
    <row r="24" spans="9:59">
      <c r="I24" s="33"/>
      <c r="J24" s="29"/>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row>
    <row r="25" spans="9:59">
      <c r="I25" s="33"/>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row>
    <row r="26" spans="9:59">
      <c r="I26" s="33"/>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row>
    <row r="27" spans="9:59">
      <c r="I27" s="33"/>
      <c r="J27" s="29"/>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row>
    <row r="28" spans="9:59">
      <c r="I28" s="33"/>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row>
    <row r="29" spans="9:59">
      <c r="I29" s="33"/>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row>
    <row r="30" spans="9:59">
      <c r="I30" s="33"/>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row>
    <row r="31" spans="9:59">
      <c r="I31" s="33"/>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row>
    <row r="32" spans="9:59">
      <c r="I32" s="33"/>
      <c r="J32" s="29"/>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row>
    <row r="33" spans="9:59">
      <c r="I33" s="33"/>
      <c r="J33" s="29"/>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row>
    <row r="34" spans="9:59">
      <c r="I34" s="33"/>
      <c r="J34" s="31"/>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row>
    <row r="35" spans="9:59">
      <c r="I35" s="33"/>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row>
    <row r="36" spans="9:59">
      <c r="I36" s="33"/>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row>
    <row r="37" spans="9:59">
      <c r="I37" s="33"/>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row>
    <row r="38" spans="9:59">
      <c r="I38" s="33"/>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row>
    <row r="39" spans="9:59">
      <c r="I39" s="33"/>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row>
    <row r="40" spans="9:59">
      <c r="I40" s="33"/>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row>
    <row r="41" spans="9:59">
      <c r="I41" s="33"/>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row>
    <row r="42" spans="9:59">
      <c r="I42" s="33"/>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row>
    <row r="43" spans="9:59">
      <c r="I43" s="33"/>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row>
    <row r="44" spans="9:59">
      <c r="I44" s="33"/>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row>
    <row r="45" spans="9:59">
      <c r="I45" s="33"/>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row>
    <row r="46" spans="9:59">
      <c r="I46" s="33"/>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row>
    <row r="47" spans="9:59">
      <c r="I47" s="33"/>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row>
    <row r="48" spans="9:59">
      <c r="I48" s="33"/>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row>
    <row r="49" spans="9:59">
      <c r="I49" s="33"/>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row>
    <row r="50" spans="9:59">
      <c r="I50" s="33"/>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row>
    <row r="51" spans="9:59">
      <c r="I51" s="33"/>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row>
    <row r="52" spans="9:59">
      <c r="I52" s="33"/>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row>
    <row r="53" spans="9:59">
      <c r="I53" s="33"/>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row>
    <row r="54" spans="9:59">
      <c r="I54" s="33"/>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row>
    <row r="55" spans="9:59">
      <c r="I55" s="33"/>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row>
    <row r="56" spans="9:59">
      <c r="I56" s="33"/>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row>
    <row r="57" spans="9:59">
      <c r="I57" s="33"/>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row>
    <row r="58" spans="9:59">
      <c r="I58" s="33"/>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row>
    <row r="59" spans="9:59">
      <c r="I59" s="33"/>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row>
    <row r="60" spans="9:59">
      <c r="I60" s="33"/>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row>
    <row r="61" spans="9:59">
      <c r="AA61" s="37" t="s">
        <v>429</v>
      </c>
      <c r="AB61" s="37"/>
    </row>
    <row r="62" spans="9:59">
      <c r="AA62" s="37" t="s">
        <v>430</v>
      </c>
      <c r="AB62" s="37">
        <v>2017</v>
      </c>
    </row>
    <row r="63" spans="9:59">
      <c r="AA63" s="37" t="s">
        <v>431</v>
      </c>
      <c r="AB63" s="37">
        <v>2018</v>
      </c>
    </row>
    <row r="64" spans="9:59">
      <c r="AA64" s="37" t="s">
        <v>432</v>
      </c>
      <c r="AB64" s="37">
        <v>2019</v>
      </c>
    </row>
    <row r="65" spans="27:28">
      <c r="AA65" s="37" t="s">
        <v>433</v>
      </c>
      <c r="AB65" s="37">
        <v>2020</v>
      </c>
    </row>
    <row r="66" spans="27:28">
      <c r="AA66" s="37" t="s">
        <v>434</v>
      </c>
      <c r="AB66" s="37">
        <v>2021</v>
      </c>
    </row>
    <row r="67" spans="27:28">
      <c r="AA67" s="37" t="s">
        <v>435</v>
      </c>
      <c r="AB67" s="37">
        <v>2022</v>
      </c>
    </row>
    <row r="68" spans="27:28">
      <c r="AA68" s="37" t="s">
        <v>436</v>
      </c>
      <c r="AB68" s="37">
        <v>2023</v>
      </c>
    </row>
    <row r="69" spans="27:28">
      <c r="AA69" s="37" t="s">
        <v>437</v>
      </c>
      <c r="AB69" s="37">
        <v>2024</v>
      </c>
    </row>
    <row r="70" spans="27:28">
      <c r="AA70" s="37" t="s">
        <v>438</v>
      </c>
      <c r="AB70" s="37">
        <v>2025</v>
      </c>
    </row>
    <row r="71" spans="27:28">
      <c r="AA71" s="37" t="s">
        <v>439</v>
      </c>
      <c r="AB71" s="37">
        <v>2026</v>
      </c>
    </row>
    <row r="72" spans="27:28">
      <c r="AA72" s="37" t="s">
        <v>440</v>
      </c>
      <c r="AB72" s="37"/>
    </row>
  </sheetData>
  <mergeCells count="14">
    <mergeCell ref="A9:B10"/>
    <mergeCell ref="C9:D10"/>
    <mergeCell ref="E9:F10"/>
    <mergeCell ref="G9:H10"/>
    <mergeCell ref="A7:B8"/>
    <mergeCell ref="C7:D8"/>
    <mergeCell ref="E7:F8"/>
    <mergeCell ref="G7:H8"/>
    <mergeCell ref="A1:H1"/>
    <mergeCell ref="A2:H2"/>
    <mergeCell ref="B4:C4"/>
    <mergeCell ref="D4:E4"/>
    <mergeCell ref="B5:C5"/>
    <mergeCell ref="D5:E5"/>
  </mergeCells>
  <phoneticPr fontId="4" type="noConversion"/>
  <dataValidations count="2">
    <dataValidation type="list" allowBlank="1" showInputMessage="1" showErrorMessage="1" sqref="D4:E4" xr:uid="{AF17B133-25B1-4F69-AA28-DA7241ACCE25}">
      <formula1>$AA$61:$AA$72</formula1>
    </dataValidation>
    <dataValidation type="list" allowBlank="1" showInputMessage="1" showErrorMessage="1" sqref="D5:E5" xr:uid="{AB9628B0-1167-452F-941C-8BD19DF8CCD9}">
      <formula1>$AB$62:$AB$71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Master_Roster</vt:lpstr>
      <vt:lpstr>Matrix_Attendance_Tracker</vt:lpstr>
      <vt:lpstr>Payroll_Calculator</vt:lpstr>
      <vt:lpstr>Control_Dashboard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 Anish</dc:creator>
  <cp:lastModifiedBy>Anish Anish</cp:lastModifiedBy>
  <dcterms:created xsi:type="dcterms:W3CDTF">2026-10-29T12:56:49Z</dcterms:created>
  <dcterms:modified xsi:type="dcterms:W3CDTF">2026-10-30T09:13:44Z</dcterms:modified>
</cp:coreProperties>
</file>